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filterPrivacy="1" codeName="ThisWorkbook"/>
  <xr:revisionPtr revIDLastSave="0" documentId="13_ncr:1_{120E01CC-6C5E-4346-9C7C-92767FE9CE6C}" xr6:coauthVersionLast="45" xr6:coauthVersionMax="45" xr10:uidLastSave="{00000000-0000-0000-0000-000000000000}"/>
  <bookViews>
    <workbookView xWindow="-108" yWindow="-108" windowWidth="23256" windowHeight="12576" xr2:uid="{00000000-000D-0000-FFFF-FFFF00000000}"/>
  </bookViews>
  <sheets>
    <sheet name="Variabelliste - informasjon" sheetId="1" r:id="rId1"/>
    <sheet name="Variabelliste - velg tabeller" sheetId="3" r:id="rId2"/>
    <sheet name="Variabelliste - velg variabler" sheetId="4" r:id="rId3"/>
    <sheet name="Merknader" sheetId="5" r:id="rId4"/>
  </sheets>
  <definedNames>
    <definedName name="_xlnm._FilterDatabase" localSheetId="1" hidden="1">'Variabelliste - velg tabeller'!#REF!</definedName>
    <definedName name="_xlnm._FilterDatabase" localSheetId="2" hidden="1">'Variabelliste - velg variabler'!$I$7:$I$370</definedName>
    <definedName name="_xlnm.Print_Area" localSheetId="2">'Variabelliste - velg variabler'!$A$1:$L$372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8" i="4" l="1"/>
  <c r="I43" i="4"/>
  <c r="I365" i="4" l="1"/>
  <c r="D262" i="4" l="1"/>
  <c r="I261" i="4" s="1"/>
  <c r="D317" i="4" l="1"/>
  <c r="I316" i="4" s="1"/>
  <c r="B45" i="4" l="1"/>
  <c r="B107" i="4" s="1"/>
  <c r="D109" i="4"/>
  <c r="D105" i="4"/>
  <c r="I105" i="4" s="1"/>
  <c r="D90" i="4"/>
  <c r="I90" i="4" s="1"/>
  <c r="D88" i="4"/>
  <c r="D85" i="4"/>
  <c r="I85" i="4" s="1"/>
  <c r="D83" i="4"/>
  <c r="I83" i="4" s="1"/>
  <c r="D81" i="4"/>
  <c r="I81" i="4" s="1"/>
  <c r="D79" i="4"/>
  <c r="I79" i="4" s="1"/>
  <c r="D77" i="4"/>
  <c r="I77" i="4" s="1"/>
  <c r="D74" i="4"/>
  <c r="I74" i="4" s="1"/>
  <c r="D234" i="4"/>
  <c r="I233" i="4" s="1"/>
  <c r="D47" i="4"/>
  <c r="D107" i="4" s="1"/>
  <c r="C46" i="4"/>
  <c r="C59" i="4" s="1"/>
  <c r="D117" i="4"/>
  <c r="I117" i="4" s="1"/>
  <c r="D162" i="4"/>
  <c r="I162" i="4" s="1"/>
  <c r="D164" i="4"/>
  <c r="I164" i="4" s="1"/>
  <c r="D166" i="4"/>
  <c r="I166" i="4" s="1"/>
  <c r="D149" i="4"/>
  <c r="D24" i="4"/>
  <c r="D12" i="4"/>
  <c r="I11" i="4" s="1"/>
  <c r="D92" i="4"/>
  <c r="I92" i="4" s="1"/>
  <c r="D94" i="4"/>
  <c r="I94" i="4" s="1"/>
  <c r="D96" i="4"/>
  <c r="I96" i="4" s="1"/>
  <c r="D98" i="4"/>
  <c r="I98" i="4" s="1"/>
  <c r="D100" i="4"/>
  <c r="I100" i="4" s="1"/>
  <c r="D113" i="4"/>
  <c r="I113" i="4" s="1"/>
  <c r="D143" i="4"/>
  <c r="I143" i="4" s="1"/>
  <c r="D141" i="4"/>
  <c r="D138" i="4"/>
  <c r="I138" i="4" s="1"/>
  <c r="D136" i="4"/>
  <c r="I136" i="4" s="1"/>
  <c r="D131" i="4"/>
  <c r="I131" i="4" s="1"/>
  <c r="D129" i="4"/>
  <c r="I129" i="4" s="1"/>
  <c r="D127" i="4"/>
  <c r="I127" i="4" s="1"/>
  <c r="D125" i="4"/>
  <c r="I125" i="4" s="1"/>
  <c r="D123" i="4"/>
  <c r="I123" i="4" s="1"/>
  <c r="D121" i="4"/>
  <c r="D119" i="4"/>
  <c r="D115" i="4"/>
  <c r="I115" i="4" s="1"/>
  <c r="D168" i="4"/>
  <c r="I168" i="4" s="1"/>
  <c r="D170" i="4"/>
  <c r="I170" i="4" s="1"/>
  <c r="D172" i="4"/>
  <c r="I172" i="4" s="1"/>
  <c r="D174" i="4"/>
  <c r="I174" i="4" s="1"/>
  <c r="D176" i="4"/>
  <c r="I176" i="4" s="1"/>
  <c r="D178" i="4"/>
  <c r="I178" i="4" s="1"/>
  <c r="D180" i="4"/>
  <c r="I180" i="4" s="1"/>
  <c r="I12" i="4"/>
  <c r="I186" i="4"/>
  <c r="I13" i="4"/>
  <c r="I349" i="4"/>
  <c r="I350" i="4"/>
  <c r="I351" i="4"/>
  <c r="I352" i="4"/>
  <c r="I353" i="4"/>
  <c r="I354" i="4"/>
  <c r="I355" i="4"/>
  <c r="I358" i="4"/>
  <c r="I359" i="4"/>
  <c r="I360" i="4"/>
  <c r="I361" i="4"/>
  <c r="I334" i="4"/>
  <c r="I333" i="4"/>
  <c r="I336" i="4"/>
  <c r="I337" i="4"/>
  <c r="I338" i="4"/>
  <c r="I339" i="4"/>
  <c r="I340" i="4"/>
  <c r="I341" i="4"/>
  <c r="I342" i="4"/>
  <c r="I320" i="4"/>
  <c r="I321" i="4"/>
  <c r="I322" i="4"/>
  <c r="I323" i="4"/>
  <c r="I324" i="4"/>
  <c r="I325" i="4"/>
  <c r="I326"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8" i="4"/>
  <c r="I299" i="4"/>
  <c r="I300" i="4"/>
  <c r="I301" i="4"/>
  <c r="I302" i="4"/>
  <c r="I303" i="4"/>
  <c r="I304" i="4"/>
  <c r="I305" i="4"/>
  <c r="I306" i="4"/>
  <c r="I307" i="4"/>
  <c r="I308" i="4"/>
  <c r="I309" i="4"/>
  <c r="I310" i="4"/>
  <c r="I311" i="4"/>
  <c r="I250" i="4"/>
  <c r="I252" i="4"/>
  <c r="I253" i="4"/>
  <c r="I254" i="4"/>
  <c r="I255" i="4"/>
  <c r="I256" i="4"/>
  <c r="I249" i="4"/>
  <c r="I19" i="4"/>
  <c r="I18" i="4"/>
  <c r="I16" i="4"/>
  <c r="I15" i="4"/>
  <c r="I14" i="4"/>
  <c r="I236" i="4"/>
  <c r="I237" i="4"/>
  <c r="I238" i="4"/>
  <c r="I239" i="4"/>
  <c r="I240" i="4"/>
  <c r="I241" i="4"/>
  <c r="I242" i="4"/>
  <c r="I243" i="4"/>
  <c r="I191" i="4"/>
  <c r="I187" i="4"/>
  <c r="I188" i="4"/>
  <c r="I189" i="4"/>
  <c r="I190"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159" i="4"/>
  <c r="I160" i="4"/>
  <c r="I161" i="4"/>
  <c r="I163" i="4"/>
  <c r="I165" i="4"/>
  <c r="I167" i="4"/>
  <c r="I169" i="4"/>
  <c r="I171" i="4"/>
  <c r="I173" i="4"/>
  <c r="I175" i="4"/>
  <c r="I177" i="4"/>
  <c r="I179" i="4"/>
  <c r="I31" i="4"/>
  <c r="I33" i="4"/>
  <c r="I35" i="4"/>
  <c r="I38" i="4"/>
  <c r="I39" i="4"/>
  <c r="I40" i="4"/>
  <c r="I364" i="4"/>
  <c r="I345" i="4"/>
  <c r="I315" i="4"/>
  <c r="I42" i="4"/>
  <c r="I41" i="4"/>
  <c r="I56" i="4"/>
  <c r="I57" i="4"/>
  <c r="I60" i="4"/>
  <c r="I61" i="4"/>
  <c r="I63" i="4"/>
  <c r="I65" i="4"/>
  <c r="I67" i="4"/>
  <c r="I69" i="4"/>
  <c r="I70" i="4"/>
  <c r="I72" i="4"/>
  <c r="I73" i="4"/>
  <c r="I75" i="4"/>
  <c r="I76" i="4"/>
  <c r="I78" i="4"/>
  <c r="I80" i="4"/>
  <c r="I84" i="4"/>
  <c r="I86" i="4"/>
  <c r="I87" i="4"/>
  <c r="I89" i="4"/>
  <c r="I91" i="4"/>
  <c r="I93" i="4"/>
  <c r="I95" i="4"/>
  <c r="I97" i="4"/>
  <c r="I99" i="4"/>
  <c r="I101" i="4"/>
  <c r="I102" i="4"/>
  <c r="I103" i="4"/>
  <c r="I104" i="4"/>
  <c r="I108" i="4"/>
  <c r="I110" i="4"/>
  <c r="I111" i="4"/>
  <c r="I112" i="4"/>
  <c r="I114" i="4"/>
  <c r="I116" i="4"/>
  <c r="I118" i="4"/>
  <c r="I120" i="4"/>
  <c r="I122" i="4"/>
  <c r="I124" i="4"/>
  <c r="I126" i="4"/>
  <c r="I128" i="4"/>
  <c r="I130" i="4"/>
  <c r="I132" i="4"/>
  <c r="I134" i="4"/>
  <c r="I135" i="4"/>
  <c r="I137" i="4"/>
  <c r="I139" i="4"/>
  <c r="I140" i="4"/>
  <c r="I142" i="4"/>
  <c r="I144" i="4"/>
  <c r="I314" i="4"/>
  <c r="I344" i="4"/>
  <c r="I87" i="3"/>
  <c r="D331" i="4"/>
  <c r="D347" i="4"/>
  <c r="A372" i="4"/>
  <c r="D32" i="4"/>
  <c r="I32" i="4" s="1"/>
  <c r="D34" i="4"/>
  <c r="I34" i="4" s="1"/>
  <c r="D36" i="4"/>
  <c r="D58" i="4"/>
  <c r="I58" i="4" s="1"/>
  <c r="D68" i="4"/>
  <c r="I68" i="4"/>
  <c r="D66" i="4"/>
  <c r="I66" i="4" s="1"/>
  <c r="D64" i="4"/>
  <c r="I64" i="4" s="1"/>
  <c r="D62" i="4"/>
  <c r="I62" i="4" s="1"/>
  <c r="I88" i="4"/>
  <c r="I109" i="4"/>
  <c r="I141" i="4"/>
  <c r="I119" i="4"/>
  <c r="I121" i="4"/>
  <c r="D248" i="4"/>
  <c r="I247" i="4" s="1"/>
  <c r="D186" i="4"/>
  <c r="I185" i="4" s="1"/>
  <c r="B2" i="4"/>
  <c r="A87" i="3"/>
  <c r="C2" i="3"/>
  <c r="D356" i="4" l="1"/>
  <c r="I356" i="4" s="1"/>
  <c r="I346" i="4"/>
  <c r="D37" i="4"/>
  <c r="I37" i="4" s="1"/>
  <c r="I23" i="4"/>
  <c r="D332" i="4"/>
  <c r="I330" i="4"/>
  <c r="D153" i="4"/>
  <c r="I153" i="4" s="1"/>
  <c r="I148" i="4"/>
  <c r="D25" i="4"/>
  <c r="I25" i="4" s="1"/>
  <c r="D30" i="4"/>
  <c r="I30" i="4" s="1"/>
  <c r="D26" i="4"/>
  <c r="I26" i="4" s="1"/>
  <c r="D53" i="4"/>
  <c r="I53" i="4" s="1"/>
  <c r="D27" i="4"/>
  <c r="I27" i="4" s="1"/>
  <c r="D28" i="4"/>
  <c r="I28" i="4" s="1"/>
  <c r="D29" i="4"/>
  <c r="I29" i="4" s="1"/>
  <c r="D348" i="4"/>
  <c r="D335" i="4"/>
  <c r="I335" i="4" s="1"/>
  <c r="D235" i="4"/>
  <c r="D150" i="4"/>
  <c r="I150" i="4" s="1"/>
  <c r="D157" i="4"/>
  <c r="I157" i="4" s="1"/>
  <c r="D55" i="4"/>
  <c r="I55" i="4" s="1"/>
  <c r="D133" i="4"/>
  <c r="I133" i="4" s="1"/>
  <c r="D59" i="4"/>
  <c r="D51" i="4"/>
  <c r="I51" i="4" s="1"/>
  <c r="D52" i="4"/>
  <c r="D54" i="4"/>
  <c r="I54" i="4" s="1"/>
  <c r="D50" i="4"/>
  <c r="C82" i="4"/>
  <c r="I82" i="4" s="1"/>
  <c r="C71" i="4"/>
  <c r="D49" i="4"/>
  <c r="D251" i="4"/>
  <c r="I107" i="4"/>
  <c r="D158" i="4"/>
  <c r="I158" i="4" s="1"/>
  <c r="D156" i="4"/>
  <c r="I156" i="4" s="1"/>
  <c r="D257" i="4"/>
  <c r="I257" i="4" s="1"/>
  <c r="I36" i="4"/>
  <c r="D181" i="4"/>
  <c r="I181" i="4" s="1"/>
  <c r="D155" i="4"/>
  <c r="I155" i="4" s="1"/>
  <c r="D154" i="4"/>
  <c r="I154" i="4" s="1"/>
  <c r="D152" i="4"/>
  <c r="B50" i="4"/>
  <c r="B71" i="4"/>
  <c r="B52" i="4"/>
  <c r="B59" i="4"/>
  <c r="B106" i="4"/>
  <c r="I106" i="4" s="1"/>
  <c r="I332" i="4"/>
  <c r="D318" i="4"/>
  <c r="D319" i="4"/>
  <c r="I319" i="4" s="1"/>
  <c r="I347" i="4" l="1"/>
  <c r="F2" i="4"/>
  <c r="H2" i="4" s="1"/>
  <c r="I59" i="4"/>
  <c r="I24" i="4"/>
  <c r="I348" i="4"/>
  <c r="I46" i="4"/>
  <c r="I331" i="4"/>
  <c r="I234" i="4"/>
  <c r="I235" i="4"/>
  <c r="I52" i="4"/>
  <c r="I71" i="4"/>
  <c r="I47" i="4"/>
  <c r="I49" i="4"/>
  <c r="I251" i="4"/>
  <c r="I248" i="4"/>
  <c r="D151" i="4"/>
  <c r="I152" i="4"/>
  <c r="I45" i="4"/>
  <c r="I50" i="4"/>
  <c r="I317" i="4"/>
  <c r="I318" i="4"/>
  <c r="I151" i="4" l="1"/>
  <c r="I149" i="4"/>
  <c r="I44" i="4"/>
  <c r="I9" i="4"/>
  <c r="D263" i="4" l="1"/>
  <c r="D297" i="4"/>
  <c r="I297" i="4" s="1"/>
  <c r="I263" i="4" l="1"/>
  <c r="I262"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Forfatter</author>
  </authors>
  <commentList>
    <comment ref="A62" authorId="0" shapeId="0" xr:uid="{00000000-0006-0000-0100-000001000000}">
      <text>
        <r>
          <rPr>
            <sz val="9"/>
            <color indexed="81"/>
            <rFont val="Tahoma"/>
            <family val="2"/>
          </rPr>
          <t xml:space="preserve">Noen variabler i denne tabellen følger med obligatorisk når du velger TAB_VITNEMÅLFAG_VGSKOLE. Du kan likevel velge denne tabellen uavhengig av om du velger TAB_VITNEMÅLFAG_VGSKOLE.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Forfatter</author>
  </authors>
  <commentList>
    <comment ref="A257" authorId="0" shapeId="0" xr:uid="{00000000-0006-0000-0200-000001000000}">
      <text>
        <r>
          <rPr>
            <b/>
            <sz val="9"/>
            <color indexed="81"/>
            <rFont val="Tahoma"/>
            <family val="2"/>
          </rPr>
          <t>Årgang trekkes fra denne</t>
        </r>
      </text>
    </comment>
    <comment ref="A297" authorId="0" shapeId="0" xr:uid="{00000000-0006-0000-0200-000002000000}">
      <text>
        <r>
          <rPr>
            <b/>
            <sz val="9"/>
            <color indexed="81"/>
            <rFont val="Tahoma"/>
            <family val="2"/>
          </rPr>
          <t>Årganger velges fra denne</t>
        </r>
      </text>
    </comment>
    <comment ref="A332" authorId="0" shapeId="0" xr:uid="{00000000-0006-0000-0200-000003000000}">
      <text>
        <r>
          <rPr>
            <b/>
            <sz val="9"/>
            <color indexed="81"/>
            <rFont val="Tahoma"/>
            <family val="2"/>
          </rPr>
          <t>Årgang velges etter denne</t>
        </r>
      </text>
    </comment>
    <comment ref="E334" authorId="0" shapeId="0" xr:uid="{00000000-0006-0000-0200-000004000000}">
      <text>
        <r>
          <rPr>
            <sz val="9"/>
            <color indexed="81"/>
            <rFont val="Tahoma"/>
            <family val="2"/>
          </rPr>
          <t>Tall mangler for 2012.</t>
        </r>
      </text>
    </comment>
    <comment ref="A348" authorId="0" shapeId="0" xr:uid="{00000000-0006-0000-0200-000005000000}">
      <text>
        <r>
          <rPr>
            <b/>
            <sz val="9"/>
            <color indexed="81"/>
            <rFont val="Tahoma"/>
            <family val="2"/>
          </rPr>
          <t>Uttrekk tas etter denne</t>
        </r>
      </text>
    </comment>
  </commentList>
</comments>
</file>

<file path=xl/sharedStrings.xml><?xml version="1.0" encoding="utf-8"?>
<sst xmlns="http://schemas.openxmlformats.org/spreadsheetml/2006/main" count="1663" uniqueCount="741">
  <si>
    <t>Statistikkområde:</t>
  </si>
  <si>
    <t>Dokumentasjon:</t>
  </si>
  <si>
    <t>Person</t>
  </si>
  <si>
    <t>Tilgjengelige årganger</t>
  </si>
  <si>
    <t>Variabelnavn</t>
  </si>
  <si>
    <t>Omfang:</t>
  </si>
  <si>
    <t>Enhet:</t>
  </si>
  <si>
    <t>Prosjektnavn:</t>
  </si>
  <si>
    <t>Institusjon:</t>
  </si>
  <si>
    <t>Dato for innsending av bestilling:</t>
  </si>
  <si>
    <t>*</t>
  </si>
  <si>
    <t>Statistisk sentralbyrå</t>
  </si>
  <si>
    <t>Kryss (x) for bestilling:</t>
  </si>
  <si>
    <t>OPPGI INFORMASJON:</t>
  </si>
  <si>
    <t>Annen informasjon fra SSB:</t>
  </si>
  <si>
    <t>Ev kommentarer til SSB:</t>
  </si>
  <si>
    <t>SSB saksnummer:</t>
  </si>
  <si>
    <t>Oppgis hvis du har mottatt det fra SSB.</t>
  </si>
  <si>
    <t>Dispensasjon:</t>
  </si>
  <si>
    <t>Variabelbeskrivelse</t>
  </si>
  <si>
    <t>Seneste oppdatering:</t>
  </si>
  <si>
    <t>Utdanning</t>
  </si>
  <si>
    <t>Utdanning på www.ssb.no</t>
  </si>
  <si>
    <t>Referansetidspunkt:</t>
  </si>
  <si>
    <t>Foreldrenes utd.nivå da personen var 16 år</t>
  </si>
  <si>
    <t>Fars høyeste utdanning da personen var 16 år</t>
  </si>
  <si>
    <t>Mors høyeste utdanning da personen var 16 år</t>
  </si>
  <si>
    <t>Bostedskommune ved fylte 16 år</t>
  </si>
  <si>
    <t>Årstall første gang fullført utdanning på grunnskolenivå</t>
  </si>
  <si>
    <t>Antall semester registrert i videregående utd. før første fullførte 3-årige videregående utdanning.</t>
  </si>
  <si>
    <t>Antall semester registrert i utd. under lov om vid. oppl. før første fullførte 3-årige under loven.</t>
  </si>
  <si>
    <t>Antall semester registrert i videregående utdanning før første fullføring, allmennfag.</t>
  </si>
  <si>
    <t>Antall semester registrert i vid. utd. under loven før første fullført 3-årig under loven, allmennfag.</t>
  </si>
  <si>
    <t>Antall semester registrert i vid. utd. før første fullført 3-årig vid. utd., yrkesfag.</t>
  </si>
  <si>
    <t>Antall semester reg. under lov om vid. oppl. før første fullført 3-årig utd.under loven, yrkesfag.</t>
  </si>
  <si>
    <t>Antall semester registrert i høyere utdanning før første gang fullført høgskole eller tilsvarende.</t>
  </si>
  <si>
    <t>Antall semester registrert i høyere utdanning før første gang fullført bachelor</t>
  </si>
  <si>
    <t>Antall semester registrert i høyere utdanning før første gang fullført cand.mag. eller tilsvarende.</t>
  </si>
  <si>
    <t>Antall semester registrert i høyere utdanning før første gang fullført hovedfagsnivå</t>
  </si>
  <si>
    <t>Antall semester registrert i høyere utdanning før første gang fullført doktorgrad.</t>
  </si>
  <si>
    <t>Antall semester registrert i utdanning utover ordinær grunnskole før første fullførte 3-årig vid.</t>
  </si>
  <si>
    <t>Antall semester reg. i utd. utover ordinær grunnskole før første fullførte 3-årig utd. under loven.</t>
  </si>
  <si>
    <t>Antall semester registrert i utdanning utover ordinær grunnskole før første fullføring, allmennfag.</t>
  </si>
  <si>
    <t>Antall semester reg. i utd. utover ordinær grunnskole før første fullføring under loven, allmennfag.</t>
  </si>
  <si>
    <t>Antall semester reg. i utd. utover ordinær grunnskole før første fullført 3-årig, yrkesfag.</t>
  </si>
  <si>
    <t>Antall semester reg. i utd. utover ordinær grunnskole før første fullf. 3-årig under loven, yrkesfag.</t>
  </si>
  <si>
    <t>Antall semester utover ordinær grunnskole før første fullført høgskole eller tilsvarende.</t>
  </si>
  <si>
    <t>Antall semester registrert i utdanning utover ordinær grunnskole før første gang fullført bachelor.</t>
  </si>
  <si>
    <t>Antall semester registrert i utdanning utover ordinær grunnskole før første gang fullført cand.mag.</t>
  </si>
  <si>
    <t>Antall semester registrert i utdanning utover ordinær grunnskole før første gang fullført doktorgrad.</t>
  </si>
  <si>
    <t>Tilgangsdato for hovedgruppen</t>
  </si>
  <si>
    <t>Avgangsdato for hovedgruppen</t>
  </si>
  <si>
    <t>Tilgangsdato for studiet</t>
  </si>
  <si>
    <t>Avgangsdato for studiet</t>
  </si>
  <si>
    <t>Utfall, omkodet</t>
  </si>
  <si>
    <t>Utdanningens art NUS2000</t>
  </si>
  <si>
    <t>Utdanningens art NUS89</t>
  </si>
  <si>
    <t>Kodetype</t>
  </si>
  <si>
    <t>Utfall av utdanning, omkodet</t>
  </si>
  <si>
    <t>Utfall, uomkodet</t>
  </si>
  <si>
    <t>Grunnskolepoeng</t>
  </si>
  <si>
    <t>Fagopplæringstype</t>
  </si>
  <si>
    <t>Fagskoleutdanning</t>
  </si>
  <si>
    <t>Gruppering av høyere utdanning</t>
  </si>
  <si>
    <t>Studiepoeng for grad</t>
  </si>
  <si>
    <t>Studiepoeng for eksamen</t>
  </si>
  <si>
    <t>Opptakskompetanse for studenter</t>
  </si>
  <si>
    <t>Gjentak</t>
  </si>
  <si>
    <t>Skolekommune</t>
  </si>
  <si>
    <t>Skolens eierforhold</t>
  </si>
  <si>
    <t>Planlagt studieprogresjon i prosent i semesteret rapportert på eksamensrecordene</t>
  </si>
  <si>
    <t>Fagkode for fag i grunnskole</t>
  </si>
  <si>
    <t>Terminkarakter, første termin</t>
  </si>
  <si>
    <t>Terminkarakter, andre termin</t>
  </si>
  <si>
    <t>Standpunktkarakter</t>
  </si>
  <si>
    <t>Skriftlig eksamenskarakter</t>
  </si>
  <si>
    <t>Muntlig eksamenskarakter</t>
  </si>
  <si>
    <t>Avslutningsdato for grunnskolen</t>
  </si>
  <si>
    <t>Primærvitnemål</t>
  </si>
  <si>
    <t>Kurskode for 1. år (UFD-kode)</t>
  </si>
  <si>
    <t>Studieretning 1. år (LINDA-kode)</t>
  </si>
  <si>
    <t>NUS-kode for 1. år</t>
  </si>
  <si>
    <t>Klassetrinn 1. år. SSB</t>
  </si>
  <si>
    <t>Studieretning 1. år. SSB</t>
  </si>
  <si>
    <t>Kurstrinn 1. år. Detaljert kurstrinn</t>
  </si>
  <si>
    <t>Kompetanse i videregående</t>
  </si>
  <si>
    <t>Kurstrinn 1. år, gruppert</t>
  </si>
  <si>
    <t>Kurskode-2-linje (VK1) UFD-kodeverk</t>
  </si>
  <si>
    <t>Studieretning 2. år, detaljert</t>
  </si>
  <si>
    <t>NUS-kode 2. år. SSB</t>
  </si>
  <si>
    <t>Klassetrinn, 2. året. SSB</t>
  </si>
  <si>
    <t>Studieretning, detaljert</t>
  </si>
  <si>
    <t>Kurstrinn, 2. året, detaljert</t>
  </si>
  <si>
    <t>Kompetanse i videregående, 2. året. SSB</t>
  </si>
  <si>
    <t>Kurstrinn 2. året, gruppert. SSB</t>
  </si>
  <si>
    <t>Kurskode-3-linje (VK11) UFD kodeverk</t>
  </si>
  <si>
    <t>Studieretning, 3. år (LINDA-kodeverk )</t>
  </si>
  <si>
    <t>NUS-kode 3. år</t>
  </si>
  <si>
    <t>Klassetrinn, 3. år</t>
  </si>
  <si>
    <t>Studieretning, 3. år</t>
  </si>
  <si>
    <t>Kurstrinn, 3. år</t>
  </si>
  <si>
    <t>Kompetanse i videregående, 3. år</t>
  </si>
  <si>
    <t>Kurstrinn, gruppert, 3. år</t>
  </si>
  <si>
    <t>Avgangsår</t>
  </si>
  <si>
    <t>Vitnemålstatus (vitm ikke fyller kravene til bestått vtm)</t>
  </si>
  <si>
    <t>Angir om vitnemålet gir generell studiekompetanse</t>
  </si>
  <si>
    <t>Fravær-dager år 1 (Antall dager 1. året)</t>
  </si>
  <si>
    <t>Fravær-timer år 1 (Antall timer 1. året)</t>
  </si>
  <si>
    <t>Fravær-dager år 2 (Antall dager 2. året)</t>
  </si>
  <si>
    <t>Fravær-timer år 2 (Antall timer 2. året)</t>
  </si>
  <si>
    <t>Fravær-dager år 3 (Antall dager 3. året)</t>
  </si>
  <si>
    <t>Fravær-timer år 3 (Antall timer 3. året)</t>
  </si>
  <si>
    <t>Utstedelssedato (når vtm ble skrevet ut)</t>
  </si>
  <si>
    <t>TAB_VITNEMAL_VGSKOLE</t>
  </si>
  <si>
    <t>Fagkode</t>
  </si>
  <si>
    <t>Fagets omfang - uketimer</t>
  </si>
  <si>
    <t>Eksamenskarakter</t>
  </si>
  <si>
    <t>Prøveform</t>
  </si>
  <si>
    <t>Eksamensår</t>
  </si>
  <si>
    <t>Fordypningsfag</t>
  </si>
  <si>
    <t>TAB_VITNEMALFAG_VGSKOLE</t>
  </si>
  <si>
    <t>Skoleår</t>
  </si>
  <si>
    <t>Videregåendepoeng</t>
  </si>
  <si>
    <t>Karakter i muntlig</t>
  </si>
  <si>
    <t>Karakter i skriftlig</t>
  </si>
  <si>
    <t>Karakter i 1. termin</t>
  </si>
  <si>
    <t>Karakter i 2. termin</t>
  </si>
  <si>
    <t>Annen karakter</t>
  </si>
  <si>
    <t>Fagstatus</t>
  </si>
  <si>
    <t>Årgang</t>
  </si>
  <si>
    <t>Deltagerstatus</t>
  </si>
  <si>
    <t>Prøvekode</t>
  </si>
  <si>
    <t>TAB_NASJONALE_PROVER</t>
  </si>
  <si>
    <t>KOMMNR</t>
  </si>
  <si>
    <t>BU</t>
  </si>
  <si>
    <t>BU_KLTRINN</t>
  </si>
  <si>
    <t>BU_REGDATO</t>
  </si>
  <si>
    <t>HOVED</t>
  </si>
  <si>
    <t>UTD</t>
  </si>
  <si>
    <t>NUS2000</t>
  </si>
  <si>
    <t>NUS89</t>
  </si>
  <si>
    <t>KLTRINN2000</t>
  </si>
  <si>
    <t>HELDEL</t>
  </si>
  <si>
    <t>VOKSEN</t>
  </si>
  <si>
    <t>KODETYPE</t>
  </si>
  <si>
    <t>UTFALL</t>
  </si>
  <si>
    <t>UTFALLU</t>
  </si>
  <si>
    <t>FULLAND</t>
  </si>
  <si>
    <t>GRUNNSKOLEPOENG</t>
  </si>
  <si>
    <t>STUDRETN</t>
  </si>
  <si>
    <t>KURSTRIN</t>
  </si>
  <si>
    <t>KTRINN</t>
  </si>
  <si>
    <t>KOMP</t>
  </si>
  <si>
    <t>TAF</t>
  </si>
  <si>
    <t>RETT</t>
  </si>
  <si>
    <t>MORSMAL</t>
  </si>
  <si>
    <t>SPESUND</t>
  </si>
  <si>
    <t>SPRAKOPP</t>
  </si>
  <si>
    <t>AARTIMER</t>
  </si>
  <si>
    <t>DELPROS</t>
  </si>
  <si>
    <t>ELEVSTATUS</t>
  </si>
  <si>
    <t>FTYPE</t>
  </si>
  <si>
    <t>FAGSKOLEUTD</t>
  </si>
  <si>
    <t>UHGRUPPE</t>
  </si>
  <si>
    <t>EVUFJERN</t>
  </si>
  <si>
    <t>STUDPOENG_EKS</t>
  </si>
  <si>
    <t>RECTYPE</t>
  </si>
  <si>
    <t>STUDRETT</t>
  </si>
  <si>
    <t>REALKOMP</t>
  </si>
  <si>
    <t>GJENTAK</t>
  </si>
  <si>
    <t>SKOLEKOM</t>
  </si>
  <si>
    <t>EIERF</t>
  </si>
  <si>
    <t>HSKODE</t>
  </si>
  <si>
    <t>SN72</t>
  </si>
  <si>
    <t>SN78</t>
  </si>
  <si>
    <t>SN94</t>
  </si>
  <si>
    <t>Løpenummer person</t>
  </si>
  <si>
    <t>SN07</t>
  </si>
  <si>
    <t>ORGNRBED</t>
  </si>
  <si>
    <t>ORGNR</t>
  </si>
  <si>
    <t>INR</t>
  </si>
  <si>
    <t>Videreutdanning med opptakskrav</t>
  </si>
  <si>
    <t>VIDERUTD</t>
  </si>
  <si>
    <t>UTVEKSAVTALE</t>
  </si>
  <si>
    <t>STUDIEPROGRESJON_H</t>
  </si>
  <si>
    <t>STUDIEPROGRESJON</t>
  </si>
  <si>
    <t>UTVEKS</t>
  </si>
  <si>
    <t>UTVEKSLAND</t>
  </si>
  <si>
    <t>STUDIEKODE</t>
  </si>
  <si>
    <t>Hendelseskode</t>
  </si>
  <si>
    <t>KODE</t>
  </si>
  <si>
    <t>Tilfellets tilgangsdato</t>
  </si>
  <si>
    <t>TILGDATO</t>
  </si>
  <si>
    <t>Tilfellets avgangsdato</t>
  </si>
  <si>
    <t>AVGDATO</t>
  </si>
  <si>
    <t>UTDTILG</t>
  </si>
  <si>
    <t>UTDAVG</t>
  </si>
  <si>
    <t>STUDTILG</t>
  </si>
  <si>
    <t>STUDAVG</t>
  </si>
  <si>
    <t>Hendelsekode</t>
  </si>
  <si>
    <t>Løpenummer for kurs</t>
  </si>
  <si>
    <t>LOEPENR_KURS</t>
  </si>
  <si>
    <t>SEMESTER_I_UTD</t>
  </si>
  <si>
    <t>SEMESTER_I_VUTD</t>
  </si>
  <si>
    <t>SEMESTER_I_VUTD_LOV</t>
  </si>
  <si>
    <t>SEMESTER_I_HOY_UTD</t>
  </si>
  <si>
    <t>SEMESTER_I_UTL_VUTD</t>
  </si>
  <si>
    <t>SEMESTER_I_UTL_HOY</t>
  </si>
  <si>
    <t>UTLAND</t>
  </si>
  <si>
    <t>SOSBAK</t>
  </si>
  <si>
    <t>NUS2000_FAR_16</t>
  </si>
  <si>
    <t>NUS2000_MOR_16</t>
  </si>
  <si>
    <t>KOMM_16</t>
  </si>
  <si>
    <t>AAR_FORSTE_FULLF_GS</t>
  </si>
  <si>
    <t>AAR_FORSTE_FULLF_VS</t>
  </si>
  <si>
    <t>AAR_FORSTE_FULLF_VS_LOV</t>
  </si>
  <si>
    <t>AAR_FORSTE_FULLF_VSA</t>
  </si>
  <si>
    <t>AAR_FORSTE_FULLF_VSA_LOV</t>
  </si>
  <si>
    <t>AAR_FORSTE_FULLF_VSY</t>
  </si>
  <si>
    <t>AAR_FORSTE_FULLF_VSY_LOV</t>
  </si>
  <si>
    <t>AAR_FORSTE_FULLF_HOY</t>
  </si>
  <si>
    <t>AAR_FORSTE_FULLF_CMG</t>
  </si>
  <si>
    <t>AAR_FORSTE_FULLF_BACH</t>
  </si>
  <si>
    <t>AAR_FORSTE_FULLF_HOV</t>
  </si>
  <si>
    <t>AAR_FORSTE_FULLF_DOK</t>
  </si>
  <si>
    <t>SEMESTER_FFF_VS</t>
  </si>
  <si>
    <t>SEMESTER_FFF_VS_LOV</t>
  </si>
  <si>
    <t>SEMESTER_FFF_VSA</t>
  </si>
  <si>
    <t>SEMESTER_FFF_VSA_LOV</t>
  </si>
  <si>
    <t>SEMESTER_FFF_VSY</t>
  </si>
  <si>
    <t>SEMESTER_FFF_VSY_LOV</t>
  </si>
  <si>
    <t>SEMESTER_FFF_HOY</t>
  </si>
  <si>
    <t>SEMESTER_FFF_BACH</t>
  </si>
  <si>
    <t>SEMESTER_FFF_CMG</t>
  </si>
  <si>
    <t>SEMESTER_FFF_HOV</t>
  </si>
  <si>
    <t>SEMESTER_FFF_DOK</t>
  </si>
  <si>
    <t>SEMESTER_TOT_FFF_VS</t>
  </si>
  <si>
    <t>SEMESTER_TOT_FFF_VS_LOV</t>
  </si>
  <si>
    <t>SEMESTER_TOT_FFF_VSA</t>
  </si>
  <si>
    <t>SEMESTER_TOT_FFF_VSA_LOV</t>
  </si>
  <si>
    <t>SEMETER_TOT_FFF_VSY</t>
  </si>
  <si>
    <t>SEMESTER_TOT_FFF_VSY_LOV</t>
  </si>
  <si>
    <t>SEMESTER_TOT_FFF_HOY</t>
  </si>
  <si>
    <t>SEMESTER_TOT_FFF_BACH</t>
  </si>
  <si>
    <t>SEMESTER_TOT_FFF_CMG</t>
  </si>
  <si>
    <t>SEMESTER_TOT_FFF_HOV</t>
  </si>
  <si>
    <t>SEMESTER_TOT_FFF_DOK</t>
  </si>
  <si>
    <t>AAR_NY_I_VID_UTD</t>
  </si>
  <si>
    <t>AAR_NY_I_VID_UTD_LOV</t>
  </si>
  <si>
    <t>AAR_FORSTE_REG_UH</t>
  </si>
  <si>
    <t>AAR_FORSTE_REG_HOV</t>
  </si>
  <si>
    <t>ALDER_FORSTE_REG_UH</t>
  </si>
  <si>
    <t>FAGKODE</t>
  </si>
  <si>
    <t>TERMIN1</t>
  </si>
  <si>
    <t>TERMIN2</t>
  </si>
  <si>
    <t>STP</t>
  </si>
  <si>
    <t>SKR</t>
  </si>
  <si>
    <t>MUN</t>
  </si>
  <si>
    <t>VITNR</t>
  </si>
  <si>
    <t>PRIMAER</t>
  </si>
  <si>
    <t>KURSKODE1</t>
  </si>
  <si>
    <t>STUDRETN1</t>
  </si>
  <si>
    <t>NUS2000_1</t>
  </si>
  <si>
    <t>KLTRINN_1</t>
  </si>
  <si>
    <t>STUDRETN_1</t>
  </si>
  <si>
    <t>KURSTRIN_1</t>
  </si>
  <si>
    <t>KOMP_1</t>
  </si>
  <si>
    <t>KTRINN_1</t>
  </si>
  <si>
    <t>KURSKODE2</t>
  </si>
  <si>
    <t>STUDRETN2</t>
  </si>
  <si>
    <t>NUS2000_2</t>
  </si>
  <si>
    <t>KLTRINN_2</t>
  </si>
  <si>
    <t>STUDRETN_2</t>
  </si>
  <si>
    <t>KOMP_2</t>
  </si>
  <si>
    <t>KTRINN_2</t>
  </si>
  <si>
    <t>KURSTRIN_2</t>
  </si>
  <si>
    <t>KURSKODE3</t>
  </si>
  <si>
    <t>STUDRETN3</t>
  </si>
  <si>
    <t>NUS2000_3</t>
  </si>
  <si>
    <t>KLTRINN_3</t>
  </si>
  <si>
    <t>STUDRETN_3</t>
  </si>
  <si>
    <t>KURSTRIN_3</t>
  </si>
  <si>
    <t>KOMP_3</t>
  </si>
  <si>
    <t>KTRINN_3</t>
  </si>
  <si>
    <t>AVGANG</t>
  </si>
  <si>
    <t>VITSTAT</t>
  </si>
  <si>
    <t>GSKOMP</t>
  </si>
  <si>
    <t>FRATIMER1</t>
  </si>
  <si>
    <t>FRADAG2</t>
  </si>
  <si>
    <t>FRATIMER2</t>
  </si>
  <si>
    <t>FRADAG3</t>
  </si>
  <si>
    <t>FRATIMER3</t>
  </si>
  <si>
    <t>FRADAG1</t>
  </si>
  <si>
    <t>UTDATO</t>
  </si>
  <si>
    <t>OMFANG</t>
  </si>
  <si>
    <t>STANDKAR</t>
  </si>
  <si>
    <t>EKSKAR</t>
  </si>
  <si>
    <t>PFORM</t>
  </si>
  <si>
    <t>EKSAR</t>
  </si>
  <si>
    <t>FORDYPF</t>
  </si>
  <si>
    <t>TAB_KARAKTER_VGSKOLE</t>
  </si>
  <si>
    <t>SKOLEAR</t>
  </si>
  <si>
    <t>VIDEREGAENDEPOENG</t>
  </si>
  <si>
    <t>KAR_ANNEN</t>
  </si>
  <si>
    <t>FAGSTATUS</t>
  </si>
  <si>
    <t>AARGANG</t>
  </si>
  <si>
    <t>DELTATTSTATUS</t>
  </si>
  <si>
    <t>PROVE</t>
  </si>
  <si>
    <t>Mestringsnivå</t>
  </si>
  <si>
    <t>MESTRINGSNIVAA</t>
  </si>
  <si>
    <t>Poeng</t>
  </si>
  <si>
    <t>POENG</t>
  </si>
  <si>
    <t>Antall semester registrert i utd. utover ordinær grunnskole før første gang fullført hovedfagsnivå/master</t>
  </si>
  <si>
    <t>Studiekode</t>
  </si>
  <si>
    <t>Registreringsdato</t>
  </si>
  <si>
    <t>REGDATO</t>
  </si>
  <si>
    <t>Tillfellets tilgangsdato</t>
  </si>
  <si>
    <t>Dato som benyttes for å effektivisere uttak av tverrsnitt</t>
  </si>
  <si>
    <t>TOMDATO</t>
  </si>
  <si>
    <t>REGTOM</t>
  </si>
  <si>
    <t>KARAKTERER FOR AVSLUTTET GRUNNSKOLE (TAB_KARAKTER_GRUNNSKOLE)</t>
  </si>
  <si>
    <t>F_UTD_DEMOGRAFI</t>
  </si>
  <si>
    <t>Definisjon og kodelister</t>
  </si>
  <si>
    <t>F_UTD_PERSON</t>
  </si>
  <si>
    <t>F_UTD_KURS</t>
  </si>
  <si>
    <t>TAB_UTD_PERSON</t>
  </si>
  <si>
    <t>TAB_KARAKTER_GRUNNSKOLE</t>
  </si>
  <si>
    <t>Laget grunnskolerecord</t>
  </si>
  <si>
    <t>MRK_BU_GRSKOLE</t>
  </si>
  <si>
    <t>Dato som brukes til å effektivisere uttak av tverrsnitt</t>
  </si>
  <si>
    <t>GYLDIG_TV_FOM</t>
  </si>
  <si>
    <t>KILDE</t>
  </si>
  <si>
    <t>Kilde for BHU-opplysninger</t>
  </si>
  <si>
    <t>KILDEBHU</t>
  </si>
  <si>
    <t>Nasjonal utdanningsdatabase NUDB (Notat 2007/54)</t>
  </si>
  <si>
    <t>Data for statistikkåret publiseres i forbindelse med frigivning av offisielle utdanningsstatistikker.</t>
  </si>
  <si>
    <t>1970-1998</t>
  </si>
  <si>
    <t>1974-2001</t>
  </si>
  <si>
    <t>2001-2008</t>
  </si>
  <si>
    <t>1976-1992</t>
  </si>
  <si>
    <t>1993-2008</t>
  </si>
  <si>
    <t>1974-1998</t>
  </si>
  <si>
    <t>Personer bosatt i Norge, fra og med 1970.</t>
  </si>
  <si>
    <t>En fra-og-med dato som markerer når record er gyldig på tverrsnitt per 1/10</t>
  </si>
  <si>
    <t>Rett til videregående opplæring</t>
  </si>
  <si>
    <t xml:space="preserve">Regtom (sluttdato for endringsrecord, viser varighet for den enkelte endringsrecord) </t>
  </si>
  <si>
    <t>Recordtype på avslutta (høgskole/universitet, settes ved avgang, ellers blank)</t>
  </si>
  <si>
    <t>REGTOM (viser varighet for den enkelte endringsrecord)</t>
  </si>
  <si>
    <t>Dokumentasjon
for
alle variabler i
tabellen
F_UTD_KURS</t>
  </si>
  <si>
    <t>Dokumentasjon
for
alle variabler i
tabellen
F_UTD_DEMOGRAFI</t>
  </si>
  <si>
    <t>Dokumentasjon
for
alle variabler i
tabellen
F_UTD_PERSON</t>
  </si>
  <si>
    <t>Dokumentasjon
for
alle variabler i
tabellen
TAB_UTD_PERSON</t>
  </si>
  <si>
    <t>Dokumentasjon
for
alle variabler i
tabellen
TAB_KARAKTER_GRUNNSKOLE</t>
  </si>
  <si>
    <t>Dokumentasjon
for
alle variabler i
tabellen
TAB_VITNEMÅL_VGSKOLE</t>
  </si>
  <si>
    <t>Dokumentasjon
for
alle variabler i
tabellen
TAB_VITNEMÅLFAG_VGSKOLE</t>
  </si>
  <si>
    <t>Dokumentasjon
for
alle variabler i
tabellen
TAB_NASJONALE_PROVER</t>
  </si>
  <si>
    <t>Dokumentasjon
for
alle variabler i
tabellen
TAB_KARAKTER_VGSKOLE</t>
  </si>
  <si>
    <t>Filplassering</t>
  </si>
  <si>
    <t>Filnavn</t>
  </si>
  <si>
    <t>igang_åååå</t>
  </si>
  <si>
    <t>VARIABELLISTE - INFORMASJON</t>
  </si>
  <si>
    <t>VARIABELLISTE - VELG VARIABLER</t>
  </si>
  <si>
    <t>Gå tilbake til informasjonssiden</t>
  </si>
  <si>
    <t>$UTD/oppdrag/wk24/utdnivaa_og_igang</t>
  </si>
  <si>
    <t>Norsk standard for utdanningsgruppering</t>
  </si>
  <si>
    <t>definisjon</t>
  </si>
  <si>
    <t>VIKTIGSTE KURS. FORLØP MED MÅNEDLIG DATERING (F_UTD_PERSON)</t>
  </si>
  <si>
    <t>FASTE VARIABLE PÅ PERSONNIVÅ (TAB_UTD_PERSON)</t>
  </si>
  <si>
    <t>FAG MED KARAKTERER FOR ALLE NIVÅER I VIDEREGÅENDE (TAB_KARAKTER_VGSKOLE)</t>
  </si>
  <si>
    <t>SSB er dispensasjonsgiver for alle variablene i denne listen. Søknaden om data (eget skjema) gjelder også som dispensasjonssøknad.</t>
  </si>
  <si>
    <t>bu_åååå</t>
  </si>
  <si>
    <t>Alder ved utgangen av det kalenderåret personen første gang er reg. i høyere utdanning (ny student).</t>
  </si>
  <si>
    <t>UTVEKSLINGSSTUDENTER (TAB_UTVEKSL_STUD)</t>
  </si>
  <si>
    <t>Dokumentasjon
for
alle variabler i
tabellen
TAB_UTVEKSL_STUD</t>
  </si>
  <si>
    <t>SKOLEAAR</t>
  </si>
  <si>
    <t>TAB_UTVEKSL_STUD</t>
  </si>
  <si>
    <t>Utvekslings-/innvekslingsland</t>
  </si>
  <si>
    <t>INSTINR</t>
  </si>
  <si>
    <t>Studieprogram</t>
  </si>
  <si>
    <t>STUDIEPROGRAM</t>
  </si>
  <si>
    <t>Utvekslingsinstitusjon</t>
  </si>
  <si>
    <t>UTVEKS_INST</t>
  </si>
  <si>
    <t>Utvekslingsavtale</t>
  </si>
  <si>
    <t>Dato for start på utveksling/innveksling</t>
  </si>
  <si>
    <t>UTVEKS_FRADATO</t>
  </si>
  <si>
    <t>Dato for avslutning på utveksling/innveksling</t>
  </si>
  <si>
    <t>UTVEKS_TILDATO</t>
  </si>
  <si>
    <t>Skoleåret opplysningene er meldt</t>
  </si>
  <si>
    <t>Utfylt av:</t>
  </si>
  <si>
    <t>Eksakt dato for høyeste utdanning</t>
  </si>
  <si>
    <t>AVIDENTIFISERES</t>
  </si>
  <si>
    <t>AVIDENTIFISERES IKKE</t>
  </si>
  <si>
    <t>Løpenummer organisasjonsnummer</t>
  </si>
  <si>
    <t>Løpenummer utstederskolens organisasjonsnummer</t>
  </si>
  <si>
    <t>Løpenummer organisasjonsnummer virksomhet (bedrift)</t>
  </si>
  <si>
    <t>Løpenummer forrige års skoles organisasjonsnummer</t>
  </si>
  <si>
    <t>Løpenummer forrige års skoles organisasjonsnummer virksomhet (bedrift)</t>
  </si>
  <si>
    <t>Merker om fnr/snr er gyldig eller ikke</t>
  </si>
  <si>
    <t>MRK_SNR_NUDB</t>
  </si>
  <si>
    <t>Land for studiegrunnlag</t>
  </si>
  <si>
    <t>STUDGRLAND</t>
  </si>
  <si>
    <t>SKOLETYPE</t>
  </si>
  <si>
    <t>AVGIVERSKOLE_ORGNR</t>
  </si>
  <si>
    <t>AVGIVERSKOLE_ORGNRBED</t>
  </si>
  <si>
    <t>Skalapoeng</t>
  </si>
  <si>
    <t>SKALAPOENG</t>
  </si>
  <si>
    <t>Hovedgruppevariabel</t>
  </si>
  <si>
    <t>Andel poeng</t>
  </si>
  <si>
    <t>ANDELPOENG</t>
  </si>
  <si>
    <t>Velg variabler &gt;</t>
  </si>
  <si>
    <t>Dokumentasjon</t>
  </si>
  <si>
    <t>Tabellnavn</t>
  </si>
  <si>
    <t xml:space="preserve">UTVEKSLINGSSTUDENTER </t>
  </si>
  <si>
    <t>VIKTIGSTE KURS. FORLØP MED MÅNEDLIG DATERING</t>
  </si>
  <si>
    <t>KARAKTERER FOR AVSLUTTET GRUNNSKOLE</t>
  </si>
  <si>
    <t xml:space="preserve">VITNEMÅL FRA VIDEREGÅENDE UTDANNING. DATA FRA NASJONAL VITNEMÅLSDATABASE (NVB) </t>
  </si>
  <si>
    <t>TAB_VITNEMÅL_VGSKOLE</t>
  </si>
  <si>
    <t>TAB_NASJONALE_PRØVER</t>
  </si>
  <si>
    <t xml:space="preserve">FAG MED KARAKTERER FOR ALLE NIVÅER I VIDEREGÅENDE </t>
  </si>
  <si>
    <t xml:space="preserve">FAG FRA VIDEREGÅENDE UTDANNING. DATA FRA NASJONAL VITNEMÅLSDATABASE (NVB) </t>
  </si>
  <si>
    <t>TAB_VITNEMÅLFAG_VGSKOLE</t>
  </si>
  <si>
    <t>UTTREKK FRA FORLØPSTABELLEN F_UTD_KURS</t>
  </si>
  <si>
    <t>Tema- og variabelliste for NUDB, med kodelister</t>
  </si>
  <si>
    <t>DEMOGRAFISKE OPPLYSNINGER OG UTDANNINGSNIVÅ (FORLØP)</t>
  </si>
  <si>
    <t>DEMOGRAFISKE OPPLYSNINGER OG UTDANNINGSNIVÅ, FORLØP (F_UTD_DEMOGRAFI)</t>
  </si>
  <si>
    <t>&lt; Tilbake til tabelliste</t>
  </si>
  <si>
    <t>ALLE KURS. FORLØP MED MÅNEDLIG DATERING</t>
  </si>
  <si>
    <t xml:space="preserve">Bostedskommune, per 1. oktober </t>
  </si>
  <si>
    <t>Bostedskommune, per 1. oktober-datovariabel</t>
  </si>
  <si>
    <t>NUS-kode for høyeste utdanning-datovariabel</t>
  </si>
  <si>
    <t>NUS-kode for høyeste utdanning</t>
  </si>
  <si>
    <t>Klassetrinn for høyeste utdanning</t>
  </si>
  <si>
    <t>Klassetrinn for høyeste utdanning-datovariabel</t>
  </si>
  <si>
    <t>Gruppering av skoleslag</t>
  </si>
  <si>
    <t>Gruppering av skoleslag-datovariabel</t>
  </si>
  <si>
    <t>Klassetrinn etter NUS2000-standarden</t>
  </si>
  <si>
    <t>Klassetrinn etter NUS2000-standarden-datovariabel</t>
  </si>
  <si>
    <t>Heltid/deltid-datovariabel</t>
  </si>
  <si>
    <t>Heltid/deltid</t>
  </si>
  <si>
    <t>Voksenopplæring-datovariabel</t>
  </si>
  <si>
    <t>Voksenopplæring</t>
  </si>
  <si>
    <t>Kildekode</t>
  </si>
  <si>
    <t>Kildekode-datovariabel</t>
  </si>
  <si>
    <t>Utdannelse i utlandet-datovariabel</t>
  </si>
  <si>
    <t>Utdannelse i utlandet</t>
  </si>
  <si>
    <t>Antall semester i høyere utdanning i utlandet-datovariabel</t>
  </si>
  <si>
    <t>Antall semester i høyere utdanning i utlandet</t>
  </si>
  <si>
    <t>Antall semester i videregående utdanning i utlandet-datovariabel</t>
  </si>
  <si>
    <t>Antall semester i videregående utdanning i utlandet</t>
  </si>
  <si>
    <t>Antall semester i høyere utdanning-datovariabel</t>
  </si>
  <si>
    <t xml:space="preserve">Antall semester i høyere utdanning </t>
  </si>
  <si>
    <t>Antall semester i videregående utdanning under lov om videregående opplæring/opplæringsloven-datovariabel</t>
  </si>
  <si>
    <t>Antall semester i videregående utdanning-datovariabel</t>
  </si>
  <si>
    <t>Antall semester i videregående utdanning</t>
  </si>
  <si>
    <t>Antall semester i videregående utdanning under lov om videregående opplæring/opplæringsloven</t>
  </si>
  <si>
    <t>Antall semester registrert i utdanning-datovariabel</t>
  </si>
  <si>
    <t>Antall semester registrert i utdanning</t>
  </si>
  <si>
    <t>Kompetanse i videregående opplæring-datovariabel</t>
  </si>
  <si>
    <t>Kompetanse i videregående opplæring</t>
  </si>
  <si>
    <t>SSBs studieretningskode-datovariabel</t>
  </si>
  <si>
    <t>Utdanningens art NUS2000 for fag i semesteret (ikke studiemål)-datovariabel</t>
  </si>
  <si>
    <t>Utdanningens art NUS2000 for fag i semesteret (ikke studiemål)</t>
  </si>
  <si>
    <t>SSBs studieretningskode</t>
  </si>
  <si>
    <t>Studieland/fullføringsland-datovariabel</t>
  </si>
  <si>
    <t>Studieretning/utdanningsprogram-datovariabel</t>
  </si>
  <si>
    <t>Kurstrinn i videregående opplæring-datovariabel</t>
  </si>
  <si>
    <t>Gruppering av kurstrinn i videregående opplæring-datovariabel</t>
  </si>
  <si>
    <t>Kombinert yrkesfag og allmennfag (TAF)-datovariabel</t>
  </si>
  <si>
    <t>Støtteundervisning i morsmål-datovariabel</t>
  </si>
  <si>
    <t>Spesialundervisning etter enkeltvedtak-datovariabel</t>
  </si>
  <si>
    <t>Særskilt norskopplæring for språklige minoriteter-datovariabel</t>
  </si>
  <si>
    <t>Årstimer for elever under Opplæringsloven-datovariabel</t>
  </si>
  <si>
    <t>Delkursprosent for elever og lærlinger-datovariabel</t>
  </si>
  <si>
    <t>Elevstatus videregående utdanning-datovariabel</t>
  </si>
  <si>
    <t>Fagopplæringstype-datovariabel</t>
  </si>
  <si>
    <t>Etter- og videreutdanning og fjernundervisning-datovariabel</t>
  </si>
  <si>
    <t>Med eller uten studierett-datovariabel</t>
  </si>
  <si>
    <t>Skolekommune-datovariabel</t>
  </si>
  <si>
    <t>Skolens eierforhold-datovariabel</t>
  </si>
  <si>
    <t>Høgskolesentra-kode-datovariabel</t>
  </si>
  <si>
    <t>Næringskode 72-datovariabel</t>
  </si>
  <si>
    <t>Næringskode 78-datovariabel</t>
  </si>
  <si>
    <t>Næringskode 94-datovariabel</t>
  </si>
  <si>
    <t>Næringskode 2007-datovariabel</t>
  </si>
  <si>
    <t>Løpenummer virksomhet (bedrift)-datovariabel</t>
  </si>
  <si>
    <t>Løpenummer organisasjonsnummer-datovariabel</t>
  </si>
  <si>
    <t>Løpenummer identifikasjonsnummer (erstattet av organisasjonsnummer fra 1999)-datovariabel</t>
  </si>
  <si>
    <t>Utvekslingsavtale-datovariabel</t>
  </si>
  <si>
    <t>Planlagt studieprogresjon i prosent i høstsemesteret-datovariabel</t>
  </si>
  <si>
    <t>Utvekslingsstudent-datovariabel</t>
  </si>
  <si>
    <t>Utvekslings- eller innvekslingsland-datovariabel</t>
  </si>
  <si>
    <t>Utvekslings- eller innvekslingsland</t>
  </si>
  <si>
    <t>Utvekslingsstudent</t>
  </si>
  <si>
    <t>Planlagt studieprogresjon i prosent i høstsemesteret</t>
  </si>
  <si>
    <t>Løpenummer identifikasjonsnummer (erstattet av organisasjonsnummer fra 1999)</t>
  </si>
  <si>
    <t>Løpenummer virksomhet (bedrift)</t>
  </si>
  <si>
    <t>Næringskode 2007</t>
  </si>
  <si>
    <t>Næringskode 94</t>
  </si>
  <si>
    <t>Næringskode 78</t>
  </si>
  <si>
    <t>Næringskode 72</t>
  </si>
  <si>
    <t>Høgskolesentra-kode</t>
  </si>
  <si>
    <t>Med eller uten studierett</t>
  </si>
  <si>
    <t>Etter- og videreutdanning og fjernundervisning</t>
  </si>
  <si>
    <t>Elevstatus videregående utdanning</t>
  </si>
  <si>
    <t>Delkursprosent for elever og lærlinger</t>
  </si>
  <si>
    <t>Årstimer for elever under Opplæringsloven</t>
  </si>
  <si>
    <t>Særskilt norskopplæring for språklige minoriteter</t>
  </si>
  <si>
    <t>Spesialundervisning etter enkeltvedtak</t>
  </si>
  <si>
    <t>Støtteundervisning i morsmål</t>
  </si>
  <si>
    <t>Kombinert yrkesfag og allmennfag (TAF)</t>
  </si>
  <si>
    <t>Gruppering av kurstrinn i videregående opplæring</t>
  </si>
  <si>
    <t>Kurstrinn i videregående opplæring</t>
  </si>
  <si>
    <t>Studieretning/utdanningsprogram</t>
  </si>
  <si>
    <t>Studieland/fullføringsland</t>
  </si>
  <si>
    <t>BUDATO</t>
  </si>
  <si>
    <t>KOMMNRDATO</t>
  </si>
  <si>
    <t>BU_KLTRINNDATO</t>
  </si>
  <si>
    <t>UTD_DATO</t>
  </si>
  <si>
    <t>KLTRINN2000DATO</t>
  </si>
  <si>
    <t>HELDELDATO</t>
  </si>
  <si>
    <t>VOKSENDATO</t>
  </si>
  <si>
    <t>KILDE_DATO</t>
  </si>
  <si>
    <t>FULLANDDATO</t>
  </si>
  <si>
    <t>STUDRETNDATO</t>
  </si>
  <si>
    <t>KURSTRINDATO</t>
  </si>
  <si>
    <t>KTRINNDATO</t>
  </si>
  <si>
    <t>KOMPDATO</t>
  </si>
  <si>
    <t>TAF_DATO</t>
  </si>
  <si>
    <t>MORSMAL_DATO</t>
  </si>
  <si>
    <t>SPESUND_DATO</t>
  </si>
  <si>
    <t>SPRAKOPP_DATO</t>
  </si>
  <si>
    <t>AARTIMER_DATO</t>
  </si>
  <si>
    <t>DELPROS_DATO</t>
  </si>
  <si>
    <t>ELEVSTATUSDATO</t>
  </si>
  <si>
    <t>FTYPE_DATO</t>
  </si>
  <si>
    <t>EVUFJERNDATO</t>
  </si>
  <si>
    <t>STUDRETT_DATO</t>
  </si>
  <si>
    <t>SKOLEKOMDATO</t>
  </si>
  <si>
    <t>EIERFDATO</t>
  </si>
  <si>
    <t>HSKODEDATO</t>
  </si>
  <si>
    <t>SN72DATO</t>
  </si>
  <si>
    <t>SN78DATO</t>
  </si>
  <si>
    <t>SN94DATO</t>
  </si>
  <si>
    <t>SN07DATO</t>
  </si>
  <si>
    <t>ORGNRBEDDATO</t>
  </si>
  <si>
    <t>ORGNRDATO</t>
  </si>
  <si>
    <t>INRDATO</t>
  </si>
  <si>
    <t>UTVEKSAVTALE_DATO</t>
  </si>
  <si>
    <t>STUDIEPROGRESJON_H_DATO</t>
  </si>
  <si>
    <t>UTVEKS_DATO</t>
  </si>
  <si>
    <t>UTVEKSLAND_DATO</t>
  </si>
  <si>
    <t>NUS2000DATO</t>
  </si>
  <si>
    <t>SEMESTER_I_UTD_DATO</t>
  </si>
  <si>
    <t>SEMESTER_I_VUTD_DATO</t>
  </si>
  <si>
    <t>SEMESTER_I_VUTD_LOV_DATO</t>
  </si>
  <si>
    <t>SEMESTER_I_HOY_UTD_DATO</t>
  </si>
  <si>
    <t>SEMESTER_I_UTL_VUTD_DATO</t>
  </si>
  <si>
    <t>SEMESTER_I_UTL_HOY_DATO</t>
  </si>
  <si>
    <t>UTLANDDATO</t>
  </si>
  <si>
    <t>TABELLISTE - VELG TABELLER</t>
  </si>
  <si>
    <t xml:space="preserve">Personens høyeste utdanningsnivå (Koden NUS2000),(1970, deretter årlig fra og med 1980) </t>
  </si>
  <si>
    <t>Vis kun valgte</t>
  </si>
  <si>
    <t>BU_LOEPENR_KURS</t>
  </si>
  <si>
    <t>fratimer3b</t>
  </si>
  <si>
    <t>fradag3b</t>
  </si>
  <si>
    <t xml:space="preserve">ktrinn_3b </t>
  </si>
  <si>
    <t xml:space="preserve">komp_3b </t>
  </si>
  <si>
    <t xml:space="preserve">kurstrin_3b </t>
  </si>
  <si>
    <t xml:space="preserve">studretn_3b </t>
  </si>
  <si>
    <t xml:space="preserve">kltrinn_3b </t>
  </si>
  <si>
    <t xml:space="preserve">nus2000_3b </t>
  </si>
  <si>
    <t>studretn3b</t>
  </si>
  <si>
    <t>kurskode3b</t>
  </si>
  <si>
    <t>BU Løpenummer kurs (Tilsvarer "Løpenummer Kurs" i F_UTD_KURS)</t>
  </si>
  <si>
    <t>bu_åååå, kun første siffer nivå</t>
  </si>
  <si>
    <t>bu_åååå, nivå gruppert</t>
  </si>
  <si>
    <t>Personens høyeste utdanningsnivå - nivå (første siffer i NUS2000)</t>
  </si>
  <si>
    <t>Oppgi perioden du ønsker data for</t>
  </si>
  <si>
    <t>Personens høyeste utdanningsnivå - seks grupper (grunnskole, videregående utdanning, fagskole, universitet og høyskole: kort og lang, uoppgitt/ingen utdanning)</t>
  </si>
  <si>
    <t>Universitet/høgskolekode i Norge</t>
  </si>
  <si>
    <t>Fravær-timer år 3 (Antall timer 3. året) (Påbygg fag for studiekompetanse)</t>
  </si>
  <si>
    <t>Kompetanse i videregående, 3. år (Påbygg fag for studiekompetanse)</t>
  </si>
  <si>
    <t>Kurstrinn, gruppert, 3. år (Påbygg fag for studiekompetanse)</t>
  </si>
  <si>
    <t>Kurstrinn, 3. år (Påbygg fag for studiekompetanse)</t>
  </si>
  <si>
    <t>Studieretning, 3. år (Påbygg fag for studiekompetanse)</t>
  </si>
  <si>
    <t>Klassetrinn, 3. år (Påbygg fag for studiekompetanse)</t>
  </si>
  <si>
    <t>NUS-kode 3. år (Påbygg fag for studiekompetanse)</t>
  </si>
  <si>
    <t>Kurskode-3-linje (VK11) UFD kodeverk (Påbygg fag for studiekompetanse)</t>
  </si>
  <si>
    <t>Studieretning, 3. år (LINDA-kodeverk ) (Påbygg fag for studiekompetanse)</t>
  </si>
  <si>
    <t>Fravær-dager år 3 (Antall dager 3. året) (Påbygg fag for studiekompetanse)</t>
  </si>
  <si>
    <t>Angi om databestillingen inkluderer</t>
  </si>
  <si>
    <t>Nyere data kan foreligge på avtaletidspunktet.</t>
  </si>
  <si>
    <t>siste tilgjengelige årganger (Ja/Nei):</t>
  </si>
  <si>
    <t>Utvekslings-/innvekslingsstudent</t>
  </si>
  <si>
    <t>Gå til variabelliste og velg variabler</t>
  </si>
  <si>
    <t>Tabeller og uttrekk</t>
  </si>
  <si>
    <t>Tre variabler er fjernet fra denne tabellen, begrunnet av kvalitetshensyn.</t>
  </si>
  <si>
    <t>definisjoner</t>
  </si>
  <si>
    <t>Intern informasjon</t>
  </si>
  <si>
    <t>wxx_xxxx_lopenr_person</t>
  </si>
  <si>
    <t>Filter</t>
  </si>
  <si>
    <t>Til år:</t>
  </si>
  <si>
    <t>Bu_igang_1970_åååå</t>
  </si>
  <si>
    <t>Gå tilbake til valg av tabeller</t>
  </si>
  <si>
    <t>Her bestiller du situasjonsopplysning per 1.10. for høyeste oppnådde utdanning og igangværende utdanning, begge i form av koden NUS2000, eller grupperinger av denne. Se for eksempel side 8 og 10 i dokumentasjonen for detaljer.</t>
  </si>
  <si>
    <t>t.o. Tre variabler er fjernet fra tabellen, av kvalitetshensyn.</t>
  </si>
  <si>
    <t>AVIDENTIFISERES. Skal matche BU_LOEPENR_KURS i F_UTD_DEMOGRAFI.</t>
  </si>
  <si>
    <t>AVIDENTIFISERES. Skal matche LOEPENR_KURS i F_UTD_KURS.</t>
  </si>
  <si>
    <t>Referansetidspunkt og -periode for utdanningsopplysninger følger skoleåret og er per 1. oktober og perioden 1. oktober - 30. september. For et skoleår vil angivelse av årgang, f.eks. 2015, referere til siste kalenderår i skoleåret, dvs. 2014/2015. Forløpsdata har samme referanseperiode som skoleåret.</t>
  </si>
  <si>
    <t>Uttrekk fra forløpstabell. Kurs er enhet, hvert kurs har tilgangsrecord, avgangsrecord og endringsrecord(er).</t>
  </si>
  <si>
    <t>Ordinært uttrekk fra kurstabellen</t>
  </si>
  <si>
    <t>Ordinært uttrekk - Alle kurs. Forløp med månedlig datering</t>
  </si>
  <si>
    <t xml:space="preserve">1. Avsluttede utdanninger og avlagte studiepoeng </t>
  </si>
  <si>
    <t>2. Gjennomføring (status 1.10. og viktigste avslutning per år)</t>
  </si>
  <si>
    <t>NB: Pass på at det er klar avtale om S380 står for avidentifisering av alle variabler, det omfatter fødselsnummer, vitnemålsnummer og organisasjonsnummer/inr.
Hvilke variabler som skal avidentifiseres er markert i kolonnen nedover.</t>
  </si>
  <si>
    <t>NASJONALE PRØVER - årgang refererer til starten av skoleåret (2016 = 2016/2017)</t>
  </si>
  <si>
    <t>Gå til liste over tabeller før du velger variabler</t>
  </si>
  <si>
    <t>ÅRLIG SITUASJONSOPPLYSNING</t>
  </si>
  <si>
    <t>Fagkatalogen er en oversikt over hvilke utdanningskoder som tilhører hvilke fag, samt noe informasjon om fagene (slik som fagtype og årstimer).</t>
  </si>
  <si>
    <t>Om utfylling:
Kryss av for tabellene du ønsker i arkfane 'Variabelliste - velg tabeller' - før du krysser av for variabler her!
Da vil obligatoriske og eventuelt anbefalte variabler krysses av automatisk, og avkrysningsfeltene kommer til syne.
Avkryssede variabler skal ikke fjernes.</t>
  </si>
  <si>
    <t>OBS: variablene PRIVAT, EKSMND, FAGT og SNITTKAR er fjernet fra listen nov. 2017 da de er blanke.</t>
  </si>
  <si>
    <t>År og måned første gang fullført tre-årig videregående-skole-nivå</t>
  </si>
  <si>
    <t>År og måned første gang fullført tre-årig utdanning under lov om videregående opplæring/opplæringsloven</t>
  </si>
  <si>
    <t>År og måned første gang fullført tre-årig utdanning på videregående-skole-nivå, allmennfag</t>
  </si>
  <si>
    <t>År og måned første gang fullført tre-årig utdanning under lov om videregående opplæring, allmennfag</t>
  </si>
  <si>
    <t>År og måned første gang fullført tre-årig utdanning på videregående-skole-nivå, yrkesfag</t>
  </si>
  <si>
    <t>År og måned første gang fullført tre-årig utdanning under lov om videregående opplæring, yrkesfag</t>
  </si>
  <si>
    <t>År og måned første gang fullført høyskolekandidat eller tilsvarende</t>
  </si>
  <si>
    <t>År og måned første gang fullført cand.mag. eller tilsvarende</t>
  </si>
  <si>
    <t>År og måned første gang fullført bachelor</t>
  </si>
  <si>
    <t>År og måned første gang fullført hovedfagsnivå/master</t>
  </si>
  <si>
    <t>År og måned første gang fullført doktorgrad</t>
  </si>
  <si>
    <t>År og måned første gang registrert i videregående utdanning</t>
  </si>
  <si>
    <t>År og måned første gang registrert i videregående utdanning under lov om vid.opplæring/opplæringsloven.</t>
  </si>
  <si>
    <t>År og måned første gang registrert i høyere utdanning (ny student)</t>
  </si>
  <si>
    <t>År og måned første gang registrert i hovedfag/master</t>
  </si>
  <si>
    <t>kodeliste</t>
  </si>
  <si>
    <t>NASJONALE PRØVER (TAB_NASJONALE_PRØVER) - årgang refererer til starten av skoleåret (2016 = 2016/2017)</t>
  </si>
  <si>
    <t xml:space="preserve">Elever og studenter i utdanning (Koden NUS2000), årlig per 1.10. </t>
  </si>
  <si>
    <t>ÅRLIG SITUASJONSOPPLYSNING (per 1.10.)</t>
  </si>
  <si>
    <t>Ordinært uttrekk</t>
  </si>
  <si>
    <t>Befolkningens utdanningsnivå</t>
  </si>
  <si>
    <t>Igangværende utdanning</t>
  </si>
  <si>
    <t>Faste definerte uttrekk fra kurstabellen</t>
  </si>
  <si>
    <t>Faste definerte uttrekk fra forløpstabellen tar kun med enkelte av registreringene i forløpstabellen og enkelte av variablene. Disse er forhåndsbestemt og vil krysses av automatisk når du krysser av for det definerte uttrekket. Ved behov for mer detaljer bestilles det ordinært uttrekk.</t>
  </si>
  <si>
    <t>Se variabler som inngår &gt;</t>
  </si>
  <si>
    <t xml:space="preserve">Tilpasset uttrekk av gjennomføring med status og viktigste avslutning tilbys med et fåtall variabler. Hvilke disse er ser du i variabellista. Det inkluderes kun én observasjon av hver variabel per år. </t>
  </si>
  <si>
    <t>Uttrekk fra følgende tabeller fra NUDB leveres med fagkatalog:</t>
  </si>
  <si>
    <t>Tabell</t>
  </si>
  <si>
    <t>Tidsavgrensningsvariabel</t>
  </si>
  <si>
    <t>F_UTD_KURS, fast uttrekk- Gjennomføring ...</t>
  </si>
  <si>
    <t>F_UTD_KURS, fast uttrekk-Avsluttede utdanninger …</t>
  </si>
  <si>
    <t>F_UTD_KURS, ordinært uttrekk</t>
  </si>
  <si>
    <t>Tabellen er oppdatert per 1.10.åååå, der åååå er nyeste årgang databasen er oppdatert for.</t>
  </si>
  <si>
    <t>Merknad</t>
  </si>
  <si>
    <t>AARGANG henviser til første kalenderår i skoleåret.</t>
  </si>
  <si>
    <t>Fast definert uttrekk - 2. Gjennomføring (status 1.10. og viktigste avslutning per år)</t>
  </si>
  <si>
    <t>Fast definert uttrekk - 1. Avsluttede utdanninger og avlagte studiepoeng</t>
  </si>
  <si>
    <t>Fast -avsluttede</t>
  </si>
  <si>
    <t>Fast -gjennomføring</t>
  </si>
  <si>
    <t>Denne variabelen ligger i tabellen TAB_VITNEMÅL_VGSKOLE som følger med som obligatorisk til TAB_VITNEMÅLFAG_VGSKOLE.</t>
  </si>
  <si>
    <t>Angående tidsavgrensninger</t>
  </si>
  <si>
    <t>Annen nyttig informasjon</t>
  </si>
  <si>
    <t xml:space="preserve"> - Årlige situasjonsopplysninger er per 1.10.åååå.</t>
  </si>
  <si>
    <t xml:space="preserve"> - Hver variabel lånes ut for de tilgjengelige årgangene i perioden du oppgir for tabellen.</t>
  </si>
  <si>
    <t>Om ulike typer uttrekk fra tabellen F_UTD_KURS</t>
  </si>
  <si>
    <t>Generelle merknader og nyttig informasjon for utfylling av variabellista:</t>
  </si>
  <si>
    <t xml:space="preserve"> - KARAKTERER FOR AVSLUTTET GRUNNSKOLE (TAB_KARAKTER_GRUNNSKOLE)</t>
  </si>
  <si>
    <t xml:space="preserve"> - VITNEMÅL FRA VIDEREGÅENDE UTDANNING. DATA FRA NASJONAL VITNEMÅLSDATABASE (NVB) (TAB_VITNEMAL_VGSKOLE)</t>
  </si>
  <si>
    <t xml:space="preserve"> - FAG FRA VIDEREGÅENDE UTDANNING. DATA FRA NASJONAL VITNEMÅLSDATABASE (NVB) (TAB_VITNEMALFAG_VGSKOLE)</t>
  </si>
  <si>
    <t xml:space="preserve"> - FAG MED KARAKTERER FOR ALLE NIVÅER I VIDEREGÅENDE (TAB_KARAKTER_VGSKOLE)</t>
  </si>
  <si>
    <t xml:space="preserve"> - Tabellene har faste variabler tidsavgrensningen gjøres etter. Hvilke variabler tidsavgrensningen gjøres etter kan du se i tabellen til høyre. Dersom annen tidsavgrensning gjøres vil du få beskjed. Dersom du ønsker at tidsavgrensning skal gjøres etter en annen av variablene i tabellen må dette spesifiseres under kommentarer på arket "Variabelliste- informasjon". </t>
  </si>
  <si>
    <t>-</t>
  </si>
  <si>
    <r>
      <t xml:space="preserve"> - </t>
    </r>
    <r>
      <rPr>
        <b/>
        <sz val="10"/>
        <color theme="1"/>
        <rFont val="Arial"/>
        <family val="2"/>
      </rPr>
      <t>Faste opplysninger i TAB_UTD_PERSON</t>
    </r>
    <r>
      <rPr>
        <sz val="10"/>
        <color theme="1"/>
        <rFont val="Arial"/>
        <family val="2"/>
      </rPr>
      <t>: Utdanningsopplysningene gjelder utdanninger fullført etter 1974.</t>
    </r>
  </si>
  <si>
    <r>
      <t xml:space="preserve"> - </t>
    </r>
    <r>
      <rPr>
        <b/>
        <sz val="10"/>
        <color theme="1"/>
        <rFont val="Arial"/>
        <family val="2"/>
      </rPr>
      <t>BU</t>
    </r>
    <r>
      <rPr>
        <sz val="10"/>
        <color theme="1"/>
        <rFont val="Arial"/>
        <family val="2"/>
      </rPr>
      <t>: Utdanningsnivå omfatter alle personer med utdanningsnivå i NUDB, uavhengig av nåværende bosettingsstatus.</t>
    </r>
  </si>
  <si>
    <t>Vitnemålsnummer (Løpenummer for vitnemål - nøkkel for kobling til TAB_VITNEMÅL_VGSKOLE)</t>
  </si>
  <si>
    <t>Vitnemålsnummer (Løpenummer for vitnemål - nøkkel for kobling til TAB_VITNEMÅLFAG_VGSKOLE)</t>
  </si>
  <si>
    <t>Avhenger av bestilling</t>
  </si>
  <si>
    <t>Om obligatoriske variabler</t>
  </si>
  <si>
    <t>Det er valgt ut enkelte variabler fra de fleste tabellene som regnes som obligatoriske og krysses av automatisk fordi vi mener disse er viktige for at uttrekket skal gi mening. Dette er gjort som et hjelpemiddel for forskere slik at man unngår at variabler som ofte trengs utelates fra en bestilling. Hvilke variabler som trengs i tillegg til disse vil variere fra prosjekt til prosjekt, og forsker må derfor krysse av for de han/hun trenger.</t>
  </si>
  <si>
    <t xml:space="preserve"> </t>
  </si>
  <si>
    <t xml:space="preserve">Gjennomføringsdata følger en gitt populasjon over en bestemt periode, for eksempel 5 eller 7 år.
Tilpasset uttrekk med gjennomføring inneholder informasjon om igangværende utdanning samt «viktigste» avsluttede utdanning per september(1.10) for hvert    år datasettet dekker. År ÅÅÅÅ går fra 10.(ÅÅÅÅ-1) tom. 09.ÅÅÅÅ.                                                                                                                                                 
Etter at uttrekket er gjort sitter man igjen med paneldata, dvs at vi har en record for hver hendelse, hvor den ene variabelen er en tidsangivelse, for eksempel      år, og de andre er status det året. Dvs at hver person kan ha flere recorder. Før utlevering transponeres fila.
At datafilen transponeres eller «snus», innebærer at hvert individ kun får en record (dvs rad) i filen. I praksis betyr dette at det blir en variabel for hvert år og             hver variabel som inngår, for eksempel vil variabelen nus2000 for perioden 2001-2003 bli nus2000_2001, nus2000_2002, nus2000_2003, og disse tre vil inngå i fila. Dette gir fort veldig mange variabler.
</t>
  </si>
  <si>
    <t>2 Fast definerte uttrekk</t>
  </si>
  <si>
    <t>a. Avsluttede utdanninger</t>
  </si>
  <si>
    <t>b. Gjennomføring</t>
  </si>
  <si>
    <t>Dette gir et uttrekk av bestemte variabler fra forløpsfilen F_UTD_KURS og inkluderer kun recorder (rader) for avsluttede utdanninger (KODE=0).</t>
  </si>
  <si>
    <t>Dette er to faste "pakker" vi tilbyr. Disse uttrekkene består av forhåndsdefinerte variabler i F_UTD_KURS, og kun enkelte av recordene(radene). Du kan lese     mer om disse under.</t>
  </si>
  <si>
    <r>
      <rPr>
        <b/>
        <sz val="11"/>
        <color theme="1"/>
        <rFont val="Calibri"/>
        <family val="2"/>
      </rPr>
      <t>1</t>
    </r>
    <r>
      <rPr>
        <sz val="10"/>
        <color theme="1"/>
        <rFont val="Arial"/>
        <family val="2"/>
      </rPr>
      <t xml:space="preserve"> </t>
    </r>
    <r>
      <rPr>
        <b/>
        <sz val="10"/>
        <color theme="1"/>
        <rFont val="Arial"/>
        <family val="2"/>
      </rPr>
      <t>Ordinært uttrekk</t>
    </r>
    <r>
      <rPr>
        <sz val="10"/>
        <color theme="1"/>
        <rFont val="Arial"/>
        <family val="2"/>
      </rPr>
      <t>:</t>
    </r>
    <r>
      <rPr>
        <sz val="11"/>
        <color theme="1"/>
        <rFont val="Calibri"/>
        <family val="2"/>
      </rPr>
      <t xml:space="preserve"> Et ordinært uttrekk er et uttrekk fra forløpsfila akkurat slik den er, med variabler som er spesifisert etter bestilling.</t>
    </r>
  </si>
  <si>
    <r>
      <t xml:space="preserve"> - Generelt løper en årgang fra 1.10. - 30.9 dersom ikke annet fremkommer i tabelloversikten. For eksempel vil årgang 2000 tilsvare fra og med 199910 til og med 200009. Dersom annen referanseperiode/definisjon av årganger ønskes må dette spesifiseres under kommentarer på arket "Variabelliste- informasjo</t>
    </r>
    <r>
      <rPr>
        <sz val="10"/>
        <rFont val="Arial"/>
        <family val="2"/>
      </rPr>
      <t>n". Vi gjør oppmerksom på at enkelte opplysninger i databasen er tilpasset å være riktig per 1.10.</t>
    </r>
  </si>
  <si>
    <t>Sist opppdatert 06.04.2018</t>
  </si>
  <si>
    <t>Se fanen "Merknader" for nærmere detaljer relevante for valg av datauttrekk.</t>
  </si>
  <si>
    <t>Finnes også  på microdata.no</t>
  </si>
  <si>
    <t>microdata.no</t>
  </si>
  <si>
    <t xml:space="preserve">NB!: Enkelte variabler er også tilgjengelig på microdata.no.  Denne tjenesten er åpen for forskere, PhD- og masterstudenter tilknyttet godkjente forskningsinstitusjoner: https://microdata.no/ </t>
  </si>
  <si>
    <t>Fra år:</t>
  </si>
  <si>
    <r>
      <t xml:space="preserve">Om utfylling:
1. </t>
    </r>
    <r>
      <rPr>
        <b/>
        <sz val="11"/>
        <color theme="1"/>
        <rFont val="Roboto Condensed"/>
      </rPr>
      <t>Velg tabeller</t>
    </r>
    <r>
      <rPr>
        <sz val="11"/>
        <color theme="1"/>
        <rFont val="Roboto Condensed"/>
      </rPr>
      <t xml:space="preserve"> nedenfor ved å skrive x ved tabellene du vil bestille fra.
     Det er også her du velger hvilke årganger du trenger. 
2. </t>
    </r>
    <r>
      <rPr>
        <b/>
        <sz val="11"/>
        <color theme="1"/>
        <rFont val="Roboto Condensed"/>
      </rPr>
      <t>Gå deretter til neste fane</t>
    </r>
    <r>
      <rPr>
        <sz val="11"/>
        <color theme="1"/>
        <rFont val="Roboto Condensed"/>
      </rPr>
      <t xml:space="preserve"> for å velge variabler fra tabellene. Variabler som er obligatoriske for tabellene, 
    det vil si de som er nødvendige for at dataene skal gi mening, vil automatisk markeres.</t>
    </r>
  </si>
  <si>
    <r>
      <t>FASTE VARIABLE PÅ PERSONNIVÅ</t>
    </r>
    <r>
      <rPr>
        <sz val="12"/>
        <rFont val="Roboto Condensed"/>
      </rPr>
      <t xml:space="preserve"> (utdanningsopplysningene gjelder utdanninger fullført etter 1974)</t>
    </r>
  </si>
  <si>
    <r>
      <rPr>
        <sz val="10"/>
        <color rgb="FFFF0000"/>
        <rFont val="Roboto Condensed"/>
      </rPr>
      <t>*</t>
    </r>
    <r>
      <rPr>
        <sz val="10"/>
        <color theme="1"/>
        <rFont val="Roboto Condensed"/>
      </rPr>
      <t xml:space="preserve"> Obligatoriske felt</t>
    </r>
  </si>
  <si>
    <t>Oppgavesett</t>
  </si>
  <si>
    <t>2010-2016</t>
  </si>
  <si>
    <t>OPPGAVESETT</t>
  </si>
  <si>
    <t>VITNEMÅL FRA VIDEREGÅENDE UTDANNING. DATA FRA NASJONAL VITNEMÅLSDATABASE (NVB) (TAB_VITNEMAL_VGSKOLE)</t>
  </si>
  <si>
    <t>FAG FRA VIDEREGÅENDE UTDANNING. DATA FRA NASJONAL VITNEMÅLSDATABASE (NVB) (TAB_VITNEMALFAG_VGSKOLE)</t>
  </si>
  <si>
    <t xml:space="preserve">GSK_BEREGNET </t>
  </si>
  <si>
    <t>Tilleggskontroll av studiekompetanse</t>
  </si>
  <si>
    <t>STUDPOENG_GRAD</t>
  </si>
  <si>
    <t>Individbaserte utdanningsopplysninger omfatter personer som har fullført grunnskoleutdanning, eller er i gang med utdanning på høyere nivå enn grunnskole. Unntaket er resultater fra nasjonale prøver som også finnes for elever som ikke har fullført grunnskole, men som har tatt nasjonale prøver. Mer om definisjoner i dokumentasjonen av NUDB, se lenke over.
Variabler om avlagte studiepoeng er komplett fra og med studieåret 2004/2005. 
                                                                                                                                                                                                                                                                                                                                                                                                         Fra 2014 er utdanningsnivå for innvandrere i publisert statistikk supplert med imputerte verdier, se nærmere informasjon på statistikksidene. Mikrodata som bestilles her inneholder de opprinnelige verdiene, og utdanningsnivå basert på dette grunnlaget vil derfor ikke samsvare med publisert statistikk.
I variabellista gis det anledning til å bestille utdanningsnivå (første siffer i Norsk standard for utdanningsgruppering (NUS)), samt gruppering av utdanningsnivå.</t>
  </si>
  <si>
    <t>AVIDENTIFISERES S360 USIKKER PÅ INNHOLDET</t>
  </si>
  <si>
    <t>2007-2019</t>
  </si>
  <si>
    <t>2008-2019</t>
  </si>
  <si>
    <t>2010-2019</t>
  </si>
  <si>
    <t>2004-2019</t>
  </si>
  <si>
    <t>2006-2019</t>
  </si>
  <si>
    <t>2005-2019</t>
  </si>
  <si>
    <t>2000-2019</t>
  </si>
  <si>
    <t>2015-2019</t>
  </si>
  <si>
    <t>2002-2019</t>
  </si>
  <si>
    <t>2012-2019</t>
  </si>
  <si>
    <t xml:space="preserve">
FASTE OPP-LYSNINGER:
OPPDATERT PER 1.10.2019.</t>
  </si>
  <si>
    <t>1974-2019</t>
  </si>
  <si>
    <t>1986-2019</t>
  </si>
  <si>
    <t>1997-2019</t>
  </si>
  <si>
    <t>1970-2019</t>
  </si>
  <si>
    <t>2011-2019</t>
  </si>
  <si>
    <t>1998-2019</t>
  </si>
  <si>
    <t>1994-2019</t>
  </si>
  <si>
    <t>1999-2019</t>
  </si>
  <si>
    <t>1989-2019</t>
  </si>
  <si>
    <t>2001-2019</t>
  </si>
  <si>
    <t>1984-2019</t>
  </si>
  <si>
    <t>2003-2019</t>
  </si>
  <si>
    <t>Per 1.10.2019</t>
  </si>
  <si>
    <t>2007-2020</t>
  </si>
  <si>
    <t>2008-2020</t>
  </si>
  <si>
    <t>2014-2020</t>
  </si>
  <si>
    <t>Sist oppdatert 8. januar 2021</t>
  </si>
  <si>
    <t>Universitet i Oslo</t>
  </si>
  <si>
    <t>Ja</t>
  </si>
  <si>
    <t>x</t>
  </si>
  <si>
    <t>Fairness of educational attainment and its measures</t>
  </si>
  <si>
    <t>Sigrid Blömeke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</si>
</sst>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font>
      <sz val="10"/>
      <color theme="1"/>
      <name val="Arial"/>
      <family val="2"/>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b/>
      <sz val="11"/>
      <color rgb="FF3F3F3F"/>
      <name val="Calibri"/>
      <family val="2"/>
      <scheme val="minor"/>
    </font>
    <font>
      <u/>
      <sz val="10"/>
      <color theme="10"/>
      <name val="Arial"/>
      <family val="2"/>
    </font>
    <font>
      <sz val="10"/>
      <name val="Arial"/>
      <family val="2"/>
    </font>
    <font>
      <b/>
      <sz val="18"/>
      <color theme="3"/>
      <name val="Cambria"/>
      <family val="2"/>
      <scheme val="major"/>
    </font>
    <font>
      <b/>
      <sz val="10"/>
      <name val="Arial"/>
      <family val="2"/>
    </font>
    <font>
      <b/>
      <sz val="13"/>
      <color theme="0"/>
      <name val="Arial"/>
      <family val="2"/>
    </font>
    <font>
      <b/>
      <sz val="13"/>
      <name val="Arial"/>
      <family val="2"/>
    </font>
    <font>
      <b/>
      <sz val="10"/>
      <color theme="1"/>
      <name val="Arial"/>
      <family val="2"/>
    </font>
    <font>
      <i/>
      <sz val="11"/>
      <color rgb="FF7F7F7F"/>
      <name val="Calibri"/>
      <family val="2"/>
      <scheme val="minor"/>
    </font>
    <font>
      <i/>
      <sz val="10"/>
      <color rgb="FF7F7F7F"/>
      <name val="Arial"/>
      <family val="2"/>
    </font>
    <font>
      <sz val="9"/>
      <color indexed="81"/>
      <name val="Tahoma"/>
      <family val="2"/>
    </font>
    <font>
      <b/>
      <sz val="9"/>
      <color indexed="81"/>
      <name val="Tahoma"/>
      <family val="2"/>
    </font>
    <font>
      <sz val="11"/>
      <color theme="1"/>
      <name val="Calibri"/>
      <family val="2"/>
    </font>
    <font>
      <b/>
      <sz val="14"/>
      <color theme="1"/>
      <name val="Arial Narrow"/>
      <family val="2"/>
    </font>
    <font>
      <b/>
      <sz val="18"/>
      <color theme="1"/>
      <name val="Arial Narrow"/>
      <family val="2"/>
    </font>
    <font>
      <b/>
      <sz val="11"/>
      <color theme="1"/>
      <name val="Calibri"/>
      <family val="2"/>
    </font>
    <font>
      <sz val="8"/>
      <color theme="1"/>
      <name val="Arial"/>
      <family val="2"/>
    </font>
    <font>
      <sz val="11"/>
      <color rgb="FF003892"/>
      <name val="Roboto Condensed"/>
    </font>
    <font>
      <b/>
      <sz val="18"/>
      <name val="Roboto Condensed"/>
    </font>
    <font>
      <sz val="11"/>
      <color theme="1"/>
      <name val="Roboto Condensed"/>
    </font>
    <font>
      <sz val="18"/>
      <name val="Roboto Condensed"/>
    </font>
    <font>
      <sz val="11"/>
      <name val="Roboto Condensed"/>
    </font>
    <font>
      <sz val="11"/>
      <color rgb="FFD4D4D4"/>
      <name val="Roboto Condensed"/>
    </font>
    <font>
      <b/>
      <sz val="11"/>
      <color theme="1"/>
      <name val="Roboto Condensed"/>
    </font>
    <font>
      <b/>
      <sz val="10"/>
      <color theme="1"/>
      <name val="Roboto Condensed"/>
    </font>
    <font>
      <b/>
      <sz val="10"/>
      <name val="Roboto Condensed"/>
    </font>
    <font>
      <sz val="10"/>
      <name val="Roboto Condensed"/>
    </font>
    <font>
      <b/>
      <u/>
      <sz val="10"/>
      <color theme="10"/>
      <name val="Roboto Condensed"/>
    </font>
    <font>
      <sz val="10"/>
      <color theme="1"/>
      <name val="Roboto Condensed"/>
    </font>
    <font>
      <u/>
      <sz val="10"/>
      <color theme="10"/>
      <name val="Roboto Condensed"/>
    </font>
    <font>
      <b/>
      <sz val="12"/>
      <name val="Roboto Condensed"/>
    </font>
    <font>
      <u/>
      <sz val="11"/>
      <color theme="10"/>
      <name val="Roboto Condensed"/>
    </font>
    <font>
      <b/>
      <sz val="12"/>
      <color theme="1"/>
      <name val="Roboto Condensed"/>
    </font>
    <font>
      <b/>
      <sz val="13"/>
      <name val="Roboto Condensed"/>
    </font>
    <font>
      <b/>
      <sz val="10"/>
      <color theme="1" tint="0.499984740745262"/>
      <name val="Roboto Condensed"/>
    </font>
    <font>
      <b/>
      <sz val="14"/>
      <color theme="0"/>
      <name val="Roboto Condensed"/>
    </font>
    <font>
      <b/>
      <sz val="16"/>
      <color theme="0"/>
      <name val="Roboto Condensed"/>
    </font>
    <font>
      <sz val="20"/>
      <color theme="1"/>
      <name val="Roboto Condensed"/>
    </font>
    <font>
      <i/>
      <sz val="10"/>
      <color theme="1"/>
      <name val="Roboto Condensed"/>
    </font>
    <font>
      <b/>
      <sz val="12"/>
      <color theme="0" tint="-4.9989318521683403E-2"/>
      <name val="Roboto Condensed"/>
    </font>
    <font>
      <b/>
      <sz val="11"/>
      <name val="Roboto Condensed"/>
    </font>
    <font>
      <sz val="12"/>
      <name val="Roboto Condensed"/>
    </font>
    <font>
      <b/>
      <sz val="15"/>
      <name val="Roboto Condensed"/>
    </font>
    <font>
      <sz val="10"/>
      <color rgb="FF3F3F3F"/>
      <name val="Roboto Condensed"/>
    </font>
    <font>
      <sz val="11"/>
      <color rgb="FFFF0000"/>
      <name val="Roboto Condensed"/>
    </font>
    <font>
      <i/>
      <sz val="10"/>
      <color rgb="FF7F7F7F"/>
      <name val="Roboto Condensed"/>
    </font>
    <font>
      <sz val="10"/>
      <color rgb="FFFF0000"/>
      <name val="Roboto Condensed"/>
    </font>
    <font>
      <b/>
      <sz val="18"/>
      <color theme="3"/>
      <name val="Roboto Condensed"/>
    </font>
    <font>
      <sz val="18"/>
      <color theme="3"/>
      <name val="Roboto Condensed"/>
    </font>
    <font>
      <sz val="11"/>
      <color theme="3"/>
      <name val="Roboto Condensed"/>
    </font>
    <font>
      <b/>
      <sz val="11"/>
      <color theme="3"/>
      <name val="Roboto Condensed"/>
    </font>
    <font>
      <b/>
      <sz val="11"/>
      <color theme="0"/>
      <name val="Roboto Condensed"/>
    </font>
  </fonts>
  <fills count="19">
    <fill>
      <patternFill patternType="none"/>
    </fill>
    <fill>
      <patternFill patternType="gray125"/>
    </fill>
    <fill>
      <patternFill patternType="solid">
        <fgColor rgb="FFF2F2F2"/>
      </patternFill>
    </fill>
    <fill>
      <patternFill patternType="solid">
        <fgColor theme="4"/>
      </patternFill>
    </fill>
    <fill>
      <patternFill patternType="solid">
        <fgColor theme="4" tint="0.79998168889431442"/>
        <bgColor indexed="65"/>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59999389629810485"/>
        <bgColor indexed="65"/>
      </patternFill>
    </fill>
    <fill>
      <patternFill patternType="solid">
        <fgColor theme="7" tint="0.79998168889431442"/>
        <bgColor indexed="64"/>
      </patternFill>
    </fill>
    <fill>
      <patternFill patternType="lightUp">
        <fgColor theme="4" tint="0.59996337778862885"/>
        <bgColor rgb="FFF6F9FC"/>
      </patternFill>
    </fill>
    <fill>
      <patternFill patternType="solid">
        <fgColor theme="0"/>
        <bgColor indexed="64"/>
      </patternFill>
    </fill>
    <fill>
      <patternFill patternType="solid">
        <fgColor theme="0" tint="-4.9989318521683403E-2"/>
        <bgColor indexed="64"/>
      </patternFill>
    </fill>
    <fill>
      <patternFill patternType="solid">
        <fgColor rgb="FFF3EBC6"/>
        <bgColor indexed="64"/>
      </patternFill>
    </fill>
    <fill>
      <patternFill patternType="solid">
        <fgColor theme="5"/>
      </patternFill>
    </fill>
    <fill>
      <patternFill patternType="solid">
        <fgColor theme="3"/>
        <bgColor indexed="64"/>
      </patternFill>
    </fill>
    <fill>
      <patternFill patternType="solid">
        <fgColor theme="4"/>
        <bgColor indexed="64"/>
      </patternFill>
    </fill>
    <fill>
      <patternFill patternType="solid">
        <fgColor theme="2"/>
        <bgColor indexed="64"/>
      </patternFill>
    </fill>
    <fill>
      <patternFill patternType="solid">
        <fgColor theme="5"/>
        <bgColor indexed="64"/>
      </patternFill>
    </fill>
    <fill>
      <patternFill patternType="solid">
        <fgColor theme="5"/>
        <bgColor theme="4" tint="0.59996337778862885"/>
      </patternFill>
    </fill>
  </fills>
  <borders count="3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hair">
        <color theme="4" tint="0.39994506668294322"/>
      </top>
      <bottom style="hair">
        <color theme="4" tint="0.39994506668294322"/>
      </bottom>
      <diagonal/>
    </border>
    <border>
      <left/>
      <right style="thin">
        <color indexed="64"/>
      </right>
      <top style="hair">
        <color theme="4" tint="0.39994506668294322"/>
      </top>
      <bottom style="hair">
        <color theme="4" tint="0.39994506668294322"/>
      </bottom>
      <diagonal/>
    </border>
    <border>
      <left style="thin">
        <color indexed="64"/>
      </left>
      <right/>
      <top style="hair">
        <color theme="4" tint="0.39994506668294322"/>
      </top>
      <bottom style="hair">
        <color theme="4" tint="0.39994506668294322"/>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bottom style="hair">
        <color theme="4" tint="0.39994506668294322"/>
      </bottom>
      <diagonal/>
    </border>
    <border>
      <left/>
      <right/>
      <top style="hair">
        <color theme="4" tint="0.39994506668294322"/>
      </top>
      <bottom/>
      <diagonal/>
    </border>
    <border>
      <left style="medium">
        <color indexed="64"/>
      </left>
      <right style="medium">
        <color indexed="64"/>
      </right>
      <top style="medium">
        <color indexed="64"/>
      </top>
      <bottom style="medium">
        <color indexed="64"/>
      </bottom>
      <diagonal/>
    </border>
    <border>
      <left style="dotted">
        <color indexed="64"/>
      </left>
      <right style="dotted">
        <color indexed="64"/>
      </right>
      <top/>
      <bottom/>
      <diagonal/>
    </border>
    <border>
      <left style="hair">
        <color indexed="64"/>
      </left>
      <right style="hair">
        <color indexed="64"/>
      </right>
      <top/>
      <bottom/>
      <diagonal/>
    </border>
    <border>
      <left/>
      <right style="thin">
        <color indexed="64"/>
      </right>
      <top style="hair">
        <color theme="4" tint="0.59999389629810485"/>
      </top>
      <bottom style="hair">
        <color theme="4" tint="0.59999389629810485"/>
      </bottom>
      <diagonal/>
    </border>
    <border>
      <left style="thin">
        <color indexed="64"/>
      </left>
      <right/>
      <top style="hair">
        <color theme="4" tint="0.59999389629810485"/>
      </top>
      <bottom style="hair">
        <color theme="4" tint="0.59999389629810485"/>
      </bottom>
      <diagonal/>
    </border>
    <border>
      <left/>
      <right/>
      <top style="hair">
        <color theme="3" tint="0.59999389629810485"/>
      </top>
      <bottom style="hair">
        <color theme="3" tint="0.59999389629810485"/>
      </bottom>
      <diagonal/>
    </border>
    <border>
      <left/>
      <right/>
      <top style="hair">
        <color theme="3" tint="0.59999389629810485"/>
      </top>
      <bottom style="hair">
        <color theme="4" tint="0.39994506668294322"/>
      </bottom>
      <diagonal/>
    </border>
    <border>
      <left style="thin">
        <color indexed="64"/>
      </left>
      <right/>
      <top style="hair">
        <color theme="3" tint="0.59999389629810485"/>
      </top>
      <bottom style="hair">
        <color theme="4" tint="0.59999389629810485"/>
      </bottom>
      <diagonal/>
    </border>
    <border>
      <left/>
      <right/>
      <top style="hair">
        <color theme="3" tint="0.59999389629810485"/>
      </top>
      <bottom/>
      <diagonal/>
    </border>
    <border>
      <left style="thin">
        <color indexed="64"/>
      </left>
      <right/>
      <top style="hair">
        <color theme="3" tint="0.59999389629810485"/>
      </top>
      <bottom style="hair">
        <color theme="3" tint="0.59999389629810485"/>
      </bottom>
      <diagonal/>
    </border>
    <border>
      <left style="medium">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style="thin">
        <color indexed="64"/>
      </bottom>
      <diagonal/>
    </border>
    <border>
      <left/>
      <right/>
      <top style="hair">
        <color theme="3" tint="0.59999389629810485"/>
      </top>
      <bottom style="hair">
        <color theme="4" tint="0.59999389629810485"/>
      </bottom>
      <diagonal/>
    </border>
  </borders>
  <cellStyleXfs count="14">
    <xf numFmtId="0" fontId="0" fillId="0" borderId="0"/>
    <xf numFmtId="0" fontId="2" fillId="0" borderId="1" applyNumberFormat="0" applyFill="0" applyAlignment="0" applyProtection="0"/>
    <xf numFmtId="0" fontId="3" fillId="0" borderId="2" applyNumberFormat="0" applyFill="0" applyAlignment="0" applyProtection="0"/>
    <xf numFmtId="0" fontId="4" fillId="0" borderId="3" applyNumberFormat="0" applyFill="0" applyAlignment="0" applyProtection="0"/>
    <xf numFmtId="0" fontId="5" fillId="2" borderId="4" applyNumberFormat="0" applyAlignment="0" applyProtection="0"/>
    <xf numFmtId="0" fontId="1" fillId="4" borderId="0" applyNumberFormat="0" applyBorder="0" applyAlignment="0" applyProtection="0"/>
    <xf numFmtId="0" fontId="6" fillId="0" borderId="0" applyNumberFormat="0" applyFill="0" applyBorder="0" applyAlignment="0" applyProtection="0"/>
    <xf numFmtId="0" fontId="8" fillId="0" borderId="0" applyNumberFormat="0" applyFill="0" applyBorder="0" applyAlignment="0" applyProtection="0"/>
    <xf numFmtId="0" fontId="1" fillId="7" borderId="0" applyNumberFormat="0" applyBorder="0" applyAlignment="0" applyProtection="0"/>
    <xf numFmtId="0" fontId="13" fillId="0" borderId="0" applyNumberFormat="0" applyFill="0" applyBorder="0" applyAlignment="0" applyProtection="0"/>
    <xf numFmtId="0" fontId="10" fillId="3" borderId="0" applyBorder="0">
      <alignment horizontal="center" vertical="center"/>
      <protection locked="0"/>
    </xf>
    <xf numFmtId="0" fontId="14" fillId="4" borderId="0">
      <alignment horizontal="left" vertical="top" wrapText="1"/>
    </xf>
    <xf numFmtId="0" fontId="11" fillId="4" borderId="0"/>
    <xf numFmtId="0" fontId="9" fillId="4" borderId="0">
      <alignment vertical="top"/>
    </xf>
  </cellStyleXfs>
  <cellXfs count="315">
    <xf numFmtId="0" fontId="0" fillId="0" borderId="0" xfId="0"/>
    <xf numFmtId="0" fontId="17" fillId="0" borderId="0" xfId="0" applyFont="1" applyAlignment="1">
      <alignment vertical="center"/>
    </xf>
    <xf numFmtId="0" fontId="19" fillId="0" borderId="0" xfId="0" applyFont="1"/>
    <xf numFmtId="0" fontId="0" fillId="0" borderId="0" xfId="0" applyAlignment="1">
      <alignment horizontal="left" vertical="top" wrapText="1"/>
    </xf>
    <xf numFmtId="0" fontId="0" fillId="0" borderId="0" xfId="0" applyAlignment="1">
      <alignment wrapText="1"/>
    </xf>
    <xf numFmtId="0" fontId="0" fillId="0" borderId="0" xfId="0" quotePrefix="1"/>
    <xf numFmtId="0" fontId="0" fillId="0" borderId="10" xfId="0" applyBorder="1"/>
    <xf numFmtId="0" fontId="17" fillId="11" borderId="35" xfId="0" applyFont="1" applyFill="1" applyBorder="1" applyAlignment="1">
      <alignment vertical="center"/>
    </xf>
    <xf numFmtId="0" fontId="0" fillId="0" borderId="0" xfId="0" applyAlignment="1">
      <alignment vertical="top"/>
    </xf>
    <xf numFmtId="0" fontId="12" fillId="0" borderId="0" xfId="0" applyFont="1"/>
    <xf numFmtId="0" fontId="0" fillId="0" borderId="17" xfId="0" applyBorder="1"/>
    <xf numFmtId="0" fontId="0" fillId="0" borderId="17" xfId="0" applyBorder="1" applyAlignment="1">
      <alignment wrapText="1"/>
    </xf>
    <xf numFmtId="0" fontId="0" fillId="0" borderId="5" xfId="0" applyBorder="1"/>
    <xf numFmtId="0" fontId="12" fillId="11" borderId="17" xfId="0" applyFont="1" applyFill="1" applyBorder="1"/>
    <xf numFmtId="0" fontId="0" fillId="11" borderId="17" xfId="0" applyFill="1" applyBorder="1"/>
    <xf numFmtId="0" fontId="0" fillId="11" borderId="17" xfId="0" applyFill="1" applyBorder="1" applyAlignment="1">
      <alignment wrapText="1"/>
    </xf>
    <xf numFmtId="0" fontId="0" fillId="11" borderId="17" xfId="0" applyFill="1" applyBorder="1" applyAlignment="1">
      <alignment vertical="top" wrapText="1"/>
    </xf>
    <xf numFmtId="0" fontId="18" fillId="11" borderId="35" xfId="0" applyFont="1" applyFill="1" applyBorder="1"/>
    <xf numFmtId="0" fontId="18" fillId="11" borderId="35" xfId="0" applyFont="1" applyFill="1" applyBorder="1" applyAlignment="1">
      <alignment vertical="top"/>
    </xf>
    <xf numFmtId="0" fontId="12" fillId="0" borderId="0" xfId="0" applyFont="1" applyBorder="1"/>
    <xf numFmtId="0" fontId="12" fillId="0" borderId="0" xfId="0" applyFont="1" applyAlignment="1"/>
    <xf numFmtId="0" fontId="21" fillId="0" borderId="17" xfId="0" applyFont="1" applyBorder="1" applyAlignment="1">
      <alignment wrapText="1"/>
    </xf>
    <xf numFmtId="0" fontId="30" fillId="8" borderId="0" xfId="2" applyFont="1" applyFill="1" applyBorder="1" applyAlignment="1" applyProtection="1">
      <alignment horizontal="left"/>
    </xf>
    <xf numFmtId="0" fontId="24" fillId="8" borderId="0" xfId="0" applyFont="1" applyFill="1" applyProtection="1"/>
    <xf numFmtId="0" fontId="24" fillId="12" borderId="0" xfId="5" applyFont="1" applyFill="1" applyBorder="1" applyAlignment="1" applyProtection="1">
      <alignment vertical="center" wrapText="1"/>
      <protection locked="0"/>
    </xf>
    <xf numFmtId="0" fontId="24" fillId="8" borderId="0" xfId="5" applyFont="1" applyFill="1" applyBorder="1" applyAlignment="1" applyProtection="1">
      <alignment wrapText="1"/>
    </xf>
    <xf numFmtId="0" fontId="31" fillId="0" borderId="17" xfId="1" applyFont="1" applyFill="1" applyBorder="1" applyAlignment="1" applyProtection="1">
      <alignment vertical="top" wrapText="1"/>
    </xf>
    <xf numFmtId="0" fontId="30" fillId="8" borderId="0" xfId="3" applyFont="1" applyFill="1" applyBorder="1" applyAlignment="1" applyProtection="1">
      <alignment horizontal="left" wrapText="1"/>
    </xf>
    <xf numFmtId="0" fontId="30" fillId="8" borderId="0" xfId="2" applyFont="1" applyFill="1" applyBorder="1" applyProtection="1"/>
    <xf numFmtId="0" fontId="31" fillId="8" borderId="0" xfId="0" applyFont="1" applyFill="1" applyBorder="1" applyProtection="1"/>
    <xf numFmtId="0" fontId="33" fillId="8" borderId="0" xfId="0" applyFont="1" applyFill="1" applyProtection="1"/>
    <xf numFmtId="0" fontId="33" fillId="0" borderId="20" xfId="0" applyFont="1" applyFill="1" applyBorder="1" applyAlignment="1" applyProtection="1">
      <alignment horizontal="center"/>
    </xf>
    <xf numFmtId="0" fontId="30" fillId="8" borderId="0" xfId="3" applyFont="1" applyFill="1" applyBorder="1" applyAlignment="1" applyProtection="1">
      <alignment horizontal="left"/>
    </xf>
    <xf numFmtId="0" fontId="31" fillId="8" borderId="0" xfId="0" applyFont="1" applyFill="1" applyBorder="1" applyAlignment="1" applyProtection="1">
      <alignment horizontal="left"/>
    </xf>
    <xf numFmtId="0" fontId="33" fillId="8" borderId="0" xfId="0" applyFont="1" applyFill="1" applyAlignment="1" applyProtection="1">
      <alignment horizontal="left"/>
    </xf>
    <xf numFmtId="0" fontId="30" fillId="8" borderId="0" xfId="13" applyFont="1" applyFill="1" applyAlignment="1" applyProtection="1">
      <alignment horizontal="center"/>
      <protection locked="0"/>
    </xf>
    <xf numFmtId="0" fontId="33" fillId="8" borderId="0" xfId="5" applyFont="1" applyFill="1" applyBorder="1" applyProtection="1">
      <protection locked="0"/>
    </xf>
    <xf numFmtId="0" fontId="33" fillId="8" borderId="0" xfId="5" applyFont="1" applyFill="1" applyBorder="1" applyProtection="1"/>
    <xf numFmtId="0" fontId="24" fillId="8" borderId="0" xfId="5" applyFont="1" applyFill="1" applyBorder="1" applyProtection="1"/>
    <xf numFmtId="0" fontId="30" fillId="8" borderId="0" xfId="12" applyFont="1" applyFill="1" applyAlignment="1"/>
    <xf numFmtId="0" fontId="33" fillId="8" borderId="0" xfId="0" applyFont="1" applyFill="1" applyAlignment="1" applyProtection="1"/>
    <xf numFmtId="0" fontId="31" fillId="10" borderId="17" xfId="13" applyNumberFormat="1" applyFont="1" applyFill="1" applyBorder="1" applyAlignment="1" applyProtection="1">
      <alignment horizontal="center"/>
    </xf>
    <xf numFmtId="0" fontId="31" fillId="0" borderId="17" xfId="13" applyNumberFormat="1" applyFont="1" applyFill="1" applyBorder="1" applyAlignment="1" applyProtection="1">
      <alignment horizontal="center"/>
    </xf>
    <xf numFmtId="0" fontId="33" fillId="10" borderId="17" xfId="0" applyFont="1" applyFill="1" applyBorder="1" applyAlignment="1" applyProtection="1">
      <alignment horizontal="center"/>
    </xf>
    <xf numFmtId="0" fontId="33" fillId="8" borderId="0" xfId="8" applyFont="1" applyFill="1" applyBorder="1" applyProtection="1"/>
    <xf numFmtId="0" fontId="24" fillId="8" borderId="0" xfId="0" applyFont="1" applyFill="1" applyBorder="1" applyProtection="1"/>
    <xf numFmtId="0" fontId="28" fillId="6" borderId="0" xfId="5" applyFont="1" applyFill="1" applyBorder="1" applyProtection="1"/>
    <xf numFmtId="0" fontId="31" fillId="0" borderId="11" xfId="1" applyFont="1" applyFill="1" applyBorder="1" applyAlignment="1" applyProtection="1">
      <alignment wrapText="1"/>
    </xf>
    <xf numFmtId="0" fontId="33" fillId="0" borderId="0" xfId="0" applyFont="1" applyFill="1"/>
    <xf numFmtId="0" fontId="33" fillId="10" borderId="17" xfId="0" applyFont="1" applyFill="1" applyBorder="1" applyAlignment="1" applyProtection="1">
      <alignment horizontal="center"/>
      <protection locked="0"/>
    </xf>
    <xf numFmtId="0" fontId="33" fillId="10" borderId="13" xfId="0" applyFont="1" applyFill="1" applyBorder="1" applyAlignment="1" applyProtection="1">
      <alignment horizontal="center"/>
      <protection locked="0"/>
    </xf>
    <xf numFmtId="0" fontId="26" fillId="12" borderId="30" xfId="13" applyFont="1" applyFill="1" applyBorder="1" applyAlignment="1" applyProtection="1">
      <alignment horizontal="left" vertical="center" wrapText="1"/>
      <protection locked="0"/>
    </xf>
    <xf numFmtId="0" fontId="33" fillId="0" borderId="17" xfId="0" applyFont="1" applyFill="1" applyBorder="1" applyAlignment="1" applyProtection="1">
      <alignment horizontal="center"/>
      <protection locked="0"/>
    </xf>
    <xf numFmtId="0" fontId="26" fillId="12" borderId="30" xfId="10" applyFont="1" applyFill="1" applyBorder="1" applyAlignment="1">
      <alignment vertical="center" wrapText="1"/>
      <protection locked="0"/>
    </xf>
    <xf numFmtId="49" fontId="33" fillId="0" borderId="17" xfId="0" applyNumberFormat="1" applyFont="1" applyFill="1" applyBorder="1" applyAlignment="1" applyProtection="1">
      <alignment horizontal="center"/>
      <protection locked="0"/>
    </xf>
    <xf numFmtId="0" fontId="33" fillId="10" borderId="0" xfId="0" applyFont="1" applyFill="1" applyBorder="1" applyAlignment="1" applyProtection="1">
      <alignment horizontal="center"/>
      <protection locked="0"/>
    </xf>
    <xf numFmtId="0" fontId="33" fillId="10" borderId="14" xfId="0" applyFont="1" applyFill="1" applyBorder="1" applyAlignment="1" applyProtection="1">
      <alignment horizontal="center"/>
      <protection locked="0"/>
    </xf>
    <xf numFmtId="0" fontId="24" fillId="12" borderId="30" xfId="0" quotePrefix="1" applyFont="1" applyFill="1" applyBorder="1" applyAlignment="1">
      <alignment vertical="center" wrapText="1"/>
    </xf>
    <xf numFmtId="0" fontId="26" fillId="12" borderId="30" xfId="13" applyFont="1" applyFill="1" applyBorder="1" applyAlignment="1">
      <alignment vertical="center"/>
    </xf>
    <xf numFmtId="0" fontId="24" fillId="8" borderId="0" xfId="0" applyFont="1" applyFill="1" applyAlignment="1" applyProtection="1">
      <alignment horizontal="left" vertical="top"/>
    </xf>
    <xf numFmtId="0" fontId="24" fillId="8" borderId="0" xfId="0" applyFont="1" applyFill="1" applyAlignment="1" applyProtection="1">
      <alignment horizontal="left"/>
    </xf>
    <xf numFmtId="0" fontId="31" fillId="10" borderId="29" xfId="0" applyFont="1" applyFill="1" applyBorder="1" applyAlignment="1" applyProtection="1">
      <alignment horizontal="center"/>
      <protection locked="0"/>
    </xf>
    <xf numFmtId="0" fontId="31" fillId="10" borderId="25" xfId="0" applyFont="1" applyFill="1" applyBorder="1" applyAlignment="1" applyProtection="1">
      <alignment horizontal="center"/>
      <protection locked="0"/>
    </xf>
    <xf numFmtId="0" fontId="33" fillId="10" borderId="29" xfId="0" applyFont="1" applyFill="1" applyBorder="1" applyAlignment="1" applyProtection="1">
      <alignment horizontal="center"/>
      <protection locked="0"/>
    </xf>
    <xf numFmtId="0" fontId="33" fillId="10" borderId="25" xfId="0" applyFont="1" applyFill="1" applyBorder="1" applyAlignment="1" applyProtection="1">
      <alignment horizontal="center"/>
      <protection locked="0"/>
    </xf>
    <xf numFmtId="0" fontId="33" fillId="10" borderId="27" xfId="0" applyFont="1" applyFill="1" applyBorder="1" applyAlignment="1" applyProtection="1">
      <alignment horizontal="center"/>
      <protection locked="0"/>
    </xf>
    <xf numFmtId="0" fontId="33" fillId="10" borderId="36" xfId="0" applyFont="1" applyFill="1" applyBorder="1" applyAlignment="1" applyProtection="1">
      <alignment horizontal="center"/>
      <protection locked="0"/>
    </xf>
    <xf numFmtId="0" fontId="33" fillId="10" borderId="24" xfId="0" applyFont="1" applyFill="1" applyBorder="1" applyAlignment="1" applyProtection="1">
      <alignment horizontal="center"/>
      <protection locked="0"/>
    </xf>
    <xf numFmtId="0" fontId="33" fillId="10" borderId="23" xfId="0" applyFont="1" applyFill="1" applyBorder="1" applyAlignment="1" applyProtection="1">
      <alignment horizontal="center"/>
      <protection locked="0"/>
    </xf>
    <xf numFmtId="0" fontId="33" fillId="0" borderId="17" xfId="0" applyFont="1" applyFill="1" applyBorder="1" applyAlignment="1" applyProtection="1">
      <alignment horizontal="center" vertical="center"/>
      <protection locked="0"/>
    </xf>
    <xf numFmtId="0" fontId="24" fillId="6" borderId="0" xfId="5" applyFont="1" applyFill="1" applyBorder="1" applyProtection="1"/>
    <xf numFmtId="0" fontId="48" fillId="0" borderId="8" xfId="4" applyFont="1" applyFill="1" applyBorder="1" applyAlignment="1" applyProtection="1">
      <alignment vertical="top"/>
    </xf>
    <xf numFmtId="0" fontId="48" fillId="0" borderId="10" xfId="4" applyFont="1" applyFill="1" applyBorder="1" applyAlignment="1" applyProtection="1">
      <alignment vertical="top"/>
    </xf>
    <xf numFmtId="0" fontId="48" fillId="0" borderId="16" xfId="4" applyFont="1" applyFill="1" applyBorder="1" applyAlignment="1" applyProtection="1">
      <alignment vertical="top"/>
    </xf>
    <xf numFmtId="0" fontId="48" fillId="0" borderId="16" xfId="4" applyFont="1" applyFill="1" applyBorder="1" applyAlignment="1" applyProtection="1">
      <alignment horizontal="left" vertical="top"/>
      <protection locked="0"/>
    </xf>
    <xf numFmtId="0" fontId="31" fillId="0" borderId="10" xfId="4" applyFont="1" applyFill="1" applyBorder="1" applyAlignment="1" applyProtection="1">
      <alignment vertical="top"/>
    </xf>
    <xf numFmtId="0" fontId="48" fillId="0" borderId="10" xfId="4" applyFont="1" applyFill="1" applyBorder="1" applyAlignment="1" applyProtection="1">
      <alignment horizontal="left" vertical="top"/>
      <protection locked="0"/>
    </xf>
    <xf numFmtId="0" fontId="48" fillId="0" borderId="0" xfId="4" applyFont="1" applyFill="1" applyBorder="1" applyAlignment="1" applyProtection="1">
      <alignment vertical="top"/>
    </xf>
    <xf numFmtId="0" fontId="24" fillId="14" borderId="0" xfId="5" applyFont="1" applyFill="1" applyBorder="1" applyProtection="1"/>
    <xf numFmtId="0" fontId="42" fillId="14" borderId="0" xfId="5" applyFont="1" applyFill="1" applyBorder="1" applyProtection="1"/>
    <xf numFmtId="0" fontId="24" fillId="15" borderId="0" xfId="5" applyFont="1" applyFill="1" applyBorder="1" applyProtection="1"/>
    <xf numFmtId="0" fontId="42" fillId="15" borderId="0" xfId="5" applyFont="1" applyFill="1" applyBorder="1" applyProtection="1"/>
    <xf numFmtId="0" fontId="24" fillId="16" borderId="0" xfId="5" applyFont="1" applyFill="1" applyBorder="1" applyProtection="1"/>
    <xf numFmtId="0" fontId="24" fillId="14" borderId="0" xfId="8" applyFont="1" applyFill="1" applyBorder="1" applyProtection="1"/>
    <xf numFmtId="0" fontId="24" fillId="13" borderId="7" xfId="5" applyFont="1" applyFill="1" applyBorder="1" applyProtection="1"/>
    <xf numFmtId="0" fontId="24" fillId="13" borderId="0" xfId="5" applyFont="1" applyFill="1" applyBorder="1" applyProtection="1"/>
    <xf numFmtId="0" fontId="24" fillId="13" borderId="0" xfId="5" applyFont="1" applyFill="1" applyBorder="1" applyAlignment="1" applyProtection="1">
      <alignment vertical="top"/>
    </xf>
    <xf numFmtId="0" fontId="24" fillId="13" borderId="0" xfId="5" applyFont="1" applyFill="1" applyBorder="1" applyAlignment="1" applyProtection="1"/>
    <xf numFmtId="0" fontId="30" fillId="13" borderId="0" xfId="3" applyFont="1" applyFill="1" applyBorder="1" applyAlignment="1" applyProtection="1">
      <alignment vertical="top"/>
    </xf>
    <xf numFmtId="0" fontId="34" fillId="13" borderId="0" xfId="6" applyFont="1" applyFill="1" applyBorder="1" applyAlignment="1" applyProtection="1">
      <alignment vertical="top"/>
      <protection locked="0"/>
    </xf>
    <xf numFmtId="0" fontId="34" fillId="13" borderId="0" xfId="6" applyFont="1" applyFill="1" applyBorder="1" applyProtection="1"/>
    <xf numFmtId="0" fontId="24" fillId="13" borderId="0" xfId="5" applyFont="1" applyFill="1" applyBorder="1" applyAlignment="1" applyProtection="1">
      <alignment horizontal="left"/>
    </xf>
    <xf numFmtId="0" fontId="24" fillId="13" borderId="0" xfId="5" applyFont="1" applyFill="1" applyBorder="1" applyAlignment="1" applyProtection="1">
      <alignment horizontal="right"/>
    </xf>
    <xf numFmtId="0" fontId="33" fillId="13" borderId="0" xfId="5" applyFont="1" applyFill="1" applyBorder="1" applyAlignment="1" applyProtection="1">
      <alignment vertical="top"/>
    </xf>
    <xf numFmtId="0" fontId="33" fillId="13" borderId="0" xfId="5" applyFont="1" applyFill="1" applyBorder="1" applyAlignment="1" applyProtection="1">
      <alignment horizontal="left"/>
    </xf>
    <xf numFmtId="16" fontId="33" fillId="17" borderId="0" xfId="5" quotePrefix="1" applyNumberFormat="1" applyFont="1" applyFill="1" applyBorder="1" applyAlignment="1" applyProtection="1">
      <alignment vertical="top" wrapText="1"/>
    </xf>
    <xf numFmtId="16" fontId="33" fillId="13" borderId="0" xfId="5" quotePrefix="1" applyNumberFormat="1" applyFont="1" applyFill="1" applyBorder="1" applyAlignment="1" applyProtection="1">
      <alignment vertical="top" wrapText="1"/>
    </xf>
    <xf numFmtId="0" fontId="33" fillId="13" borderId="0" xfId="5" applyFont="1" applyFill="1" applyBorder="1" applyAlignment="1" applyProtection="1">
      <alignment horizontal="left" wrapText="1"/>
    </xf>
    <xf numFmtId="0" fontId="33" fillId="13" borderId="0" xfId="5" applyFont="1" applyFill="1" applyBorder="1" applyAlignment="1" applyProtection="1">
      <alignment vertical="top" wrapText="1"/>
    </xf>
    <xf numFmtId="0" fontId="31" fillId="13" borderId="0" xfId="5" applyFont="1" applyFill="1" applyBorder="1" applyAlignment="1" applyProtection="1">
      <alignment vertical="top" wrapText="1"/>
    </xf>
    <xf numFmtId="0" fontId="29" fillId="13" borderId="0" xfId="6" applyFont="1" applyFill="1" applyBorder="1" applyAlignment="1" applyProtection="1">
      <alignment vertical="top" wrapText="1"/>
      <protection locked="0"/>
    </xf>
    <xf numFmtId="0" fontId="38" fillId="13" borderId="0" xfId="1" applyFont="1" applyFill="1" applyBorder="1" applyAlignment="1" applyProtection="1"/>
    <xf numFmtId="0" fontId="47" fillId="13" borderId="0" xfId="1" applyFont="1" applyFill="1" applyBorder="1" applyAlignment="1" applyProtection="1"/>
    <xf numFmtId="0" fontId="49" fillId="13" borderId="0" xfId="5" applyFont="1" applyFill="1" applyBorder="1" applyAlignment="1" applyProtection="1">
      <alignment horizontal="left"/>
    </xf>
    <xf numFmtId="0" fontId="33" fillId="13" borderId="0" xfId="5" applyFont="1" applyFill="1" applyBorder="1" applyProtection="1"/>
    <xf numFmtId="0" fontId="33" fillId="13" borderId="0" xfId="5" applyFont="1" applyFill="1" applyBorder="1" applyAlignment="1" applyProtection="1">
      <alignment horizontal="right"/>
    </xf>
    <xf numFmtId="0" fontId="52" fillId="16" borderId="5" xfId="7" applyFont="1" applyFill="1" applyBorder="1" applyAlignment="1" applyProtection="1">
      <alignment vertical="center"/>
    </xf>
    <xf numFmtId="0" fontId="42" fillId="16" borderId="5" xfId="0" applyFont="1" applyFill="1" applyBorder="1" applyProtection="1"/>
    <xf numFmtId="0" fontId="24" fillId="16" borderId="0" xfId="0" applyFont="1" applyFill="1" applyBorder="1" applyProtection="1"/>
    <xf numFmtId="0" fontId="24" fillId="16" borderId="0" xfId="0" applyFont="1" applyFill="1" applyProtection="1"/>
    <xf numFmtId="0" fontId="53" fillId="16" borderId="0" xfId="7" applyFont="1" applyFill="1" applyBorder="1" applyAlignment="1" applyProtection="1">
      <alignment vertical="center"/>
    </xf>
    <xf numFmtId="0" fontId="42" fillId="16" borderId="0" xfId="0" applyFont="1" applyFill="1" applyBorder="1" applyProtection="1"/>
    <xf numFmtId="0" fontId="24" fillId="16" borderId="0" xfId="5" applyFont="1" applyFill="1" applyBorder="1" applyAlignment="1" applyProtection="1"/>
    <xf numFmtId="0" fontId="24" fillId="16" borderId="0" xfId="5" applyFont="1" applyFill="1" applyBorder="1" applyAlignment="1" applyProtection="1">
      <alignment horizontal="left"/>
    </xf>
    <xf numFmtId="0" fontId="33" fillId="16" borderId="0" xfId="0" applyFont="1" applyFill="1" applyProtection="1"/>
    <xf numFmtId="0" fontId="33" fillId="16" borderId="0" xfId="0" applyFont="1" applyFill="1" applyAlignment="1" applyProtection="1"/>
    <xf numFmtId="0" fontId="43" fillId="16" borderId="0" xfId="0" applyFont="1" applyFill="1" applyAlignment="1" applyProtection="1">
      <alignment horizontal="right"/>
    </xf>
    <xf numFmtId="0" fontId="24" fillId="14" borderId="0" xfId="5" applyFont="1" applyFill="1" applyBorder="1" applyAlignment="1" applyProtection="1"/>
    <xf numFmtId="0" fontId="24" fillId="15" borderId="0" xfId="5" applyFont="1" applyFill="1" applyBorder="1" applyAlignment="1" applyProtection="1"/>
    <xf numFmtId="0" fontId="24" fillId="16" borderId="0" xfId="0" applyFont="1" applyFill="1" applyAlignment="1" applyProtection="1">
      <alignment horizontal="left"/>
    </xf>
    <xf numFmtId="0" fontId="24" fillId="16" borderId="0" xfId="0" applyFont="1" applyFill="1" applyAlignment="1" applyProtection="1">
      <alignment horizontal="left" vertical="top"/>
    </xf>
    <xf numFmtId="0" fontId="33" fillId="16" borderId="0" xfId="0" applyFont="1" applyFill="1"/>
    <xf numFmtId="0" fontId="33" fillId="16" borderId="0" xfId="0" applyFont="1" applyFill="1" applyBorder="1" applyAlignment="1" applyProtection="1"/>
    <xf numFmtId="0" fontId="33" fillId="16" borderId="0" xfId="0" applyFont="1" applyFill="1" applyAlignment="1" applyProtection="1">
      <alignment horizontal="right"/>
    </xf>
    <xf numFmtId="0" fontId="24" fillId="16" borderId="0" xfId="0" applyFont="1" applyFill="1" applyAlignment="1" applyProtection="1"/>
    <xf numFmtId="0" fontId="24" fillId="17" borderId="0" xfId="5" applyFont="1" applyFill="1" applyBorder="1" applyAlignment="1" applyProtection="1"/>
    <xf numFmtId="0" fontId="24" fillId="17" borderId="0" xfId="5" applyFont="1" applyFill="1" applyBorder="1" applyProtection="1"/>
    <xf numFmtId="0" fontId="29" fillId="17" borderId="0" xfId="5" applyFont="1" applyFill="1" applyBorder="1" applyAlignment="1" applyProtection="1">
      <alignment wrapText="1"/>
    </xf>
    <xf numFmtId="0" fontId="44" fillId="17" borderId="0" xfId="2" applyFont="1" applyFill="1" applyBorder="1" applyAlignment="1" applyProtection="1">
      <alignment vertical="top"/>
    </xf>
    <xf numFmtId="0" fontId="33" fillId="13" borderId="0" xfId="5" applyFont="1" applyFill="1" applyBorder="1" applyAlignment="1" applyProtection="1"/>
    <xf numFmtId="0" fontId="35" fillId="17" borderId="0" xfId="2" applyFont="1" applyFill="1" applyBorder="1" applyAlignment="1" applyProtection="1">
      <alignment vertical="top"/>
    </xf>
    <xf numFmtId="0" fontId="29" fillId="13" borderId="0" xfId="5" applyFont="1" applyFill="1" applyBorder="1" applyProtection="1"/>
    <xf numFmtId="0" fontId="31" fillId="13" borderId="0" xfId="13" applyFont="1" applyFill="1" applyAlignment="1" applyProtection="1">
      <alignment horizontal="left"/>
      <protection locked="0"/>
    </xf>
    <xf numFmtId="0" fontId="33" fillId="17" borderId="0" xfId="0" applyFont="1" applyFill="1" applyBorder="1" applyAlignment="1" applyProtection="1">
      <alignment horizontal="left"/>
    </xf>
    <xf numFmtId="0" fontId="33" fillId="17" borderId="0" xfId="0" applyFont="1" applyFill="1" applyBorder="1" applyAlignment="1" applyProtection="1">
      <alignment horizontal="center"/>
      <protection locked="0"/>
    </xf>
    <xf numFmtId="0" fontId="34" fillId="17" borderId="0" xfId="6" applyFont="1" applyFill="1" applyBorder="1" applyAlignment="1" applyProtection="1">
      <alignment horizontal="left"/>
      <protection locked="0"/>
    </xf>
    <xf numFmtId="0" fontId="35" fillId="17" borderId="0" xfId="13" applyFont="1" applyFill="1" applyAlignment="1" applyProtection="1">
      <protection locked="0"/>
    </xf>
    <xf numFmtId="0" fontId="31" fillId="17" borderId="7" xfId="13" applyFont="1" applyFill="1" applyBorder="1" applyAlignment="1" applyProtection="1">
      <alignment horizontal="left"/>
      <protection locked="0"/>
    </xf>
    <xf numFmtId="0" fontId="36" fillId="17" borderId="0" xfId="6" applyFont="1" applyFill="1" applyAlignment="1" applyProtection="1">
      <protection locked="0"/>
    </xf>
    <xf numFmtId="0" fontId="33" fillId="17" borderId="0" xfId="0" applyFont="1" applyFill="1"/>
    <xf numFmtId="0" fontId="33" fillId="17" borderId="0" xfId="5" applyFont="1" applyFill="1" applyBorder="1" applyProtection="1"/>
    <xf numFmtId="0" fontId="30" fillId="17" borderId="0" xfId="13" applyFont="1" applyFill="1" applyBorder="1" applyAlignment="1" applyProtection="1">
      <protection locked="0"/>
    </xf>
    <xf numFmtId="0" fontId="30" fillId="17" borderId="0" xfId="12" applyFont="1" applyFill="1" applyAlignment="1" applyProtection="1">
      <alignment horizontal="left"/>
      <protection locked="0"/>
    </xf>
    <xf numFmtId="0" fontId="33" fillId="17" borderId="15" xfId="0" applyFont="1" applyFill="1" applyBorder="1" applyAlignment="1" applyProtection="1">
      <alignment horizontal="left"/>
    </xf>
    <xf numFmtId="0" fontId="34" fillId="17" borderId="0" xfId="6" applyFont="1" applyFill="1" applyBorder="1" applyAlignment="1" applyProtection="1">
      <alignment wrapText="1"/>
      <protection locked="0"/>
    </xf>
    <xf numFmtId="0" fontId="30" fillId="17" borderId="0" xfId="12" applyFont="1" applyFill="1" applyAlignment="1"/>
    <xf numFmtId="0" fontId="36" fillId="17" borderId="0" xfId="6" applyFont="1" applyFill="1" applyBorder="1" applyAlignment="1" applyProtection="1">
      <alignment vertical="center"/>
      <protection locked="0"/>
    </xf>
    <xf numFmtId="0" fontId="34" fillId="17" borderId="0" xfId="6" applyFont="1" applyFill="1" applyBorder="1" applyAlignment="1" applyProtection="1">
      <alignment vertical="top"/>
    </xf>
    <xf numFmtId="0" fontId="38" fillId="17" borderId="0" xfId="13" applyFont="1" applyFill="1" applyAlignment="1">
      <alignment vertical="top"/>
    </xf>
    <xf numFmtId="0" fontId="45" fillId="17" borderId="0" xfId="13" applyFont="1" applyFill="1" applyAlignment="1" applyProtection="1">
      <alignment horizontal="left" vertical="center"/>
      <protection locked="0"/>
    </xf>
    <xf numFmtId="0" fontId="26" fillId="17" borderId="0" xfId="10" applyFont="1" applyFill="1" applyBorder="1" applyAlignment="1">
      <alignment vertical="top" wrapText="1"/>
      <protection locked="0"/>
    </xf>
    <xf numFmtId="0" fontId="30" fillId="17" borderId="0" xfId="13" applyFont="1" applyFill="1" applyAlignment="1" applyProtection="1">
      <alignment horizontal="left" vertical="center"/>
      <protection locked="0"/>
    </xf>
    <xf numFmtId="0" fontId="33" fillId="17" borderId="13" xfId="0" applyFont="1" applyFill="1" applyBorder="1" applyAlignment="1" applyProtection="1">
      <alignment horizontal="left"/>
    </xf>
    <xf numFmtId="0" fontId="34" fillId="17" borderId="0" xfId="6" applyFont="1" applyFill="1" applyBorder="1" applyProtection="1">
      <protection locked="0"/>
    </xf>
    <xf numFmtId="0" fontId="34" fillId="17" borderId="0" xfId="6" quotePrefix="1" applyFont="1" applyFill="1" applyAlignment="1" applyProtection="1">
      <alignment horizontal="left" vertical="center"/>
      <protection locked="0"/>
    </xf>
    <xf numFmtId="0" fontId="33" fillId="17" borderId="0" xfId="0" applyFont="1" applyFill="1" applyBorder="1" applyAlignment="1" applyProtection="1">
      <alignment horizontal="left"/>
      <protection locked="0"/>
    </xf>
    <xf numFmtId="0" fontId="33" fillId="17" borderId="0" xfId="5" applyFont="1" applyFill="1" applyBorder="1" applyAlignment="1" applyProtection="1">
      <alignment horizontal="left"/>
    </xf>
    <xf numFmtId="0" fontId="34" fillId="17" borderId="0" xfId="6" quotePrefix="1" applyFont="1" applyFill="1" applyAlignment="1" applyProtection="1">
      <alignment vertical="top"/>
      <protection locked="0"/>
    </xf>
    <xf numFmtId="0" fontId="34" fillId="17" borderId="0" xfId="6" applyFont="1" applyFill="1" applyBorder="1" applyAlignment="1" applyProtection="1">
      <alignment horizontal="left" vertical="center"/>
      <protection locked="0"/>
    </xf>
    <xf numFmtId="0" fontId="30" fillId="17" borderId="0" xfId="12" applyFont="1" applyFill="1" applyAlignment="1" applyProtection="1">
      <protection locked="0"/>
    </xf>
    <xf numFmtId="0" fontId="30" fillId="17" borderId="0" xfId="12" applyFont="1" applyFill="1" applyAlignment="1">
      <alignment horizontal="left"/>
    </xf>
    <xf numFmtId="0" fontId="36" fillId="17" borderId="0" xfId="6" applyFont="1" applyFill="1" applyBorder="1" applyAlignment="1" applyProtection="1">
      <alignment horizontal="left" vertical="center"/>
      <protection locked="0"/>
    </xf>
    <xf numFmtId="0" fontId="34" fillId="17" borderId="0" xfId="6" applyFont="1" applyFill="1" applyBorder="1" applyAlignment="1" applyProtection="1">
      <protection locked="0"/>
    </xf>
    <xf numFmtId="0" fontId="35" fillId="17" borderId="0" xfId="13" applyFont="1" applyFill="1" applyAlignment="1" applyProtection="1">
      <alignment vertical="center"/>
      <protection locked="0"/>
    </xf>
    <xf numFmtId="0" fontId="36" fillId="17" borderId="0" xfId="6" applyFont="1" applyFill="1" applyBorder="1" applyAlignment="1" applyProtection="1">
      <alignment vertical="top"/>
      <protection locked="0"/>
    </xf>
    <xf numFmtId="0" fontId="33" fillId="17" borderId="28" xfId="5" applyFont="1" applyFill="1" applyBorder="1" applyProtection="1"/>
    <xf numFmtId="0" fontId="24" fillId="17" borderId="0" xfId="0" applyFont="1" applyFill="1" applyBorder="1" applyProtection="1"/>
    <xf numFmtId="0" fontId="24" fillId="17" borderId="0" xfId="0" applyFont="1" applyFill="1" applyProtection="1"/>
    <xf numFmtId="0" fontId="23" fillId="16" borderId="5" xfId="7" applyFont="1" applyFill="1" applyBorder="1" applyAlignment="1" applyProtection="1">
      <alignment vertical="center"/>
    </xf>
    <xf numFmtId="0" fontId="22" fillId="16" borderId="5" xfId="0" applyFont="1" applyFill="1" applyBorder="1" applyAlignment="1" applyProtection="1">
      <alignment horizontal="center"/>
    </xf>
    <xf numFmtId="0" fontId="25" fillId="16" borderId="0" xfId="7" applyFont="1" applyFill="1" applyBorder="1" applyAlignment="1" applyProtection="1">
      <alignment vertical="center"/>
    </xf>
    <xf numFmtId="0" fontId="22" fillId="16" borderId="0" xfId="0" applyFont="1" applyFill="1" applyBorder="1" applyAlignment="1" applyProtection="1">
      <alignment horizontal="center"/>
    </xf>
    <xf numFmtId="0" fontId="26" fillId="16" borderId="0" xfId="0" applyFont="1" applyFill="1" applyBorder="1" applyProtection="1"/>
    <xf numFmtId="0" fontId="27" fillId="16" borderId="0" xfId="0" applyFont="1" applyFill="1" applyBorder="1" applyProtection="1"/>
    <xf numFmtId="0" fontId="27" fillId="16" borderId="0" xfId="5" applyFont="1" applyFill="1" applyBorder="1" applyProtection="1"/>
    <xf numFmtId="0" fontId="27" fillId="16" borderId="0" xfId="0" applyFont="1" applyFill="1" applyProtection="1"/>
    <xf numFmtId="0" fontId="33" fillId="16" borderId="0" xfId="0" applyFont="1" applyFill="1" applyAlignment="1" applyProtection="1">
      <alignment horizontal="center"/>
    </xf>
    <xf numFmtId="0" fontId="24" fillId="16" borderId="0" xfId="0" applyFont="1" applyFill="1" applyAlignment="1" applyProtection="1">
      <alignment horizontal="center"/>
    </xf>
    <xf numFmtId="0" fontId="24" fillId="14" borderId="0" xfId="5" applyFont="1" applyFill="1" applyBorder="1" applyAlignment="1" applyProtection="1">
      <alignment horizontal="center"/>
    </xf>
    <xf numFmtId="0" fontId="24" fillId="15" borderId="0" xfId="5" applyFont="1" applyFill="1" applyBorder="1" applyAlignment="1" applyProtection="1">
      <alignment horizontal="center"/>
    </xf>
    <xf numFmtId="0" fontId="30" fillId="15" borderId="0" xfId="3" applyFont="1" applyFill="1" applyBorder="1" applyAlignment="1" applyProtection="1">
      <alignment horizontal="left" wrapText="1"/>
    </xf>
    <xf numFmtId="0" fontId="30" fillId="15" borderId="33" xfId="13" applyFont="1" applyFill="1" applyBorder="1" applyAlignment="1" applyProtection="1">
      <alignment horizontal="center"/>
    </xf>
    <xf numFmtId="0" fontId="30" fillId="15" borderId="31" xfId="13" applyFont="1" applyFill="1" applyBorder="1" applyAlignment="1" applyProtection="1">
      <alignment horizontal="center"/>
    </xf>
    <xf numFmtId="0" fontId="30" fillId="15" borderId="10" xfId="13" applyFont="1" applyFill="1" applyBorder="1" applyAlignment="1" applyProtection="1">
      <alignment horizontal="center"/>
    </xf>
    <xf numFmtId="0" fontId="30" fillId="15" borderId="34" xfId="13" applyFont="1" applyFill="1" applyBorder="1" applyAlignment="1" applyProtection="1">
      <alignment horizontal="center"/>
    </xf>
    <xf numFmtId="0" fontId="30" fillId="15" borderId="16" xfId="13" applyFont="1" applyFill="1" applyBorder="1" applyAlignment="1" applyProtection="1">
      <alignment horizontal="center"/>
    </xf>
    <xf numFmtId="0" fontId="30" fillId="15" borderId="32" xfId="13" applyFont="1" applyFill="1" applyBorder="1" applyAlignment="1" applyProtection="1">
      <alignment horizontal="center"/>
    </xf>
    <xf numFmtId="0" fontId="30" fillId="17" borderId="0" xfId="2" applyFont="1" applyFill="1" applyBorder="1" applyAlignment="1" applyProtection="1">
      <alignment horizontal="left"/>
    </xf>
    <xf numFmtId="0" fontId="30" fillId="17" borderId="7" xfId="3" applyFont="1" applyFill="1" applyBorder="1" applyAlignment="1" applyProtection="1">
      <alignment wrapText="1"/>
    </xf>
    <xf numFmtId="0" fontId="30" fillId="17" borderId="0" xfId="3" applyFont="1" applyFill="1" applyBorder="1" applyAlignment="1" applyProtection="1">
      <alignment wrapText="1"/>
    </xf>
    <xf numFmtId="0" fontId="29" fillId="17" borderId="0" xfId="5" applyFont="1" applyFill="1" applyBorder="1" applyProtection="1"/>
    <xf numFmtId="0" fontId="31" fillId="13" borderId="0" xfId="13" applyFont="1" applyFill="1" applyAlignment="1" applyProtection="1">
      <alignment horizontal="center"/>
      <protection locked="0"/>
    </xf>
    <xf numFmtId="0" fontId="31" fillId="17" borderId="13" xfId="0" applyFont="1" applyFill="1" applyBorder="1" applyProtection="1"/>
    <xf numFmtId="0" fontId="31" fillId="17" borderId="0" xfId="13" applyFont="1" applyFill="1" applyAlignment="1" applyProtection="1">
      <alignment horizontal="center"/>
      <protection locked="0"/>
    </xf>
    <xf numFmtId="0" fontId="31" fillId="17" borderId="0" xfId="0" applyFont="1" applyFill="1" applyBorder="1" applyProtection="1"/>
    <xf numFmtId="0" fontId="35" fillId="13" borderId="0" xfId="12" applyFont="1" applyFill="1" applyAlignment="1" applyProtection="1">
      <protection locked="0"/>
    </xf>
    <xf numFmtId="0" fontId="31" fillId="17" borderId="13" xfId="0" applyFont="1" applyFill="1" applyBorder="1" applyAlignment="1" applyProtection="1">
      <alignment horizontal="left"/>
    </xf>
    <xf numFmtId="0" fontId="31" fillId="17" borderId="0" xfId="0" applyFont="1" applyFill="1" applyBorder="1" applyAlignment="1" applyProtection="1">
      <alignment horizontal="left"/>
    </xf>
    <xf numFmtId="0" fontId="30" fillId="13" borderId="0" xfId="13" applyFont="1" applyFill="1" applyAlignment="1" applyProtection="1">
      <protection locked="0"/>
    </xf>
    <xf numFmtId="0" fontId="30" fillId="13" borderId="0" xfId="13" applyFont="1" applyFill="1" applyAlignment="1" applyProtection="1">
      <alignment horizontal="center"/>
      <protection locked="0"/>
    </xf>
    <xf numFmtId="0" fontId="30" fillId="13" borderId="26" xfId="13" applyFont="1" applyFill="1" applyBorder="1" applyAlignment="1" applyProtection="1">
      <alignment horizontal="center"/>
      <protection locked="0"/>
    </xf>
    <xf numFmtId="0" fontId="30" fillId="13" borderId="0" xfId="13" applyFont="1" applyFill="1" applyBorder="1" applyAlignment="1" applyProtection="1">
      <alignment horizontal="center"/>
      <protection locked="0"/>
    </xf>
    <xf numFmtId="0" fontId="31" fillId="13" borderId="0" xfId="13" applyFont="1" applyFill="1" applyAlignment="1" applyProtection="1">
      <protection locked="0"/>
    </xf>
    <xf numFmtId="0" fontId="30" fillId="13" borderId="0" xfId="13" applyFont="1" applyFill="1" applyAlignment="1" applyProtection="1">
      <alignment horizontal="left"/>
      <protection locked="0"/>
    </xf>
    <xf numFmtId="0" fontId="30" fillId="17" borderId="0" xfId="13" applyFont="1" applyFill="1" applyBorder="1" applyAlignment="1" applyProtection="1">
      <alignment horizontal="left"/>
      <protection locked="0"/>
    </xf>
    <xf numFmtId="0" fontId="30" fillId="13" borderId="0" xfId="13" applyFont="1" applyFill="1" applyBorder="1" applyAlignment="1" applyProtection="1">
      <protection locked="0"/>
    </xf>
    <xf numFmtId="0" fontId="33" fillId="13" borderId="0" xfId="5" applyFont="1" applyFill="1" applyBorder="1" applyProtection="1">
      <protection locked="0"/>
    </xf>
    <xf numFmtId="0" fontId="31" fillId="17" borderId="0" xfId="13" applyFont="1" applyFill="1" applyAlignment="1" applyProtection="1">
      <alignment horizontal="left"/>
      <protection locked="0"/>
    </xf>
    <xf numFmtId="0" fontId="36" fillId="17" borderId="0" xfId="6" applyFont="1" applyFill="1" applyAlignment="1" applyProtection="1">
      <alignment horizontal="left"/>
      <protection locked="0"/>
    </xf>
    <xf numFmtId="0" fontId="24" fillId="17" borderId="0" xfId="5" applyFont="1" applyFill="1" applyAlignment="1" applyProtection="1">
      <alignment horizontal="center"/>
      <protection locked="0"/>
    </xf>
    <xf numFmtId="0" fontId="33" fillId="17" borderId="0" xfId="5" applyFont="1" applyFill="1" applyBorder="1" applyAlignment="1" applyProtection="1"/>
    <xf numFmtId="0" fontId="33" fillId="17" borderId="0" xfId="5" applyFont="1" applyFill="1" applyBorder="1" applyAlignment="1" applyProtection="1">
      <alignment horizontal="center"/>
    </xf>
    <xf numFmtId="0" fontId="33" fillId="17" borderId="13" xfId="0" applyFont="1" applyFill="1" applyBorder="1" applyAlignment="1" applyProtection="1"/>
    <xf numFmtId="0" fontId="34" fillId="13" borderId="0" xfId="6" applyFont="1" applyFill="1" applyBorder="1" applyAlignment="1">
      <alignment wrapText="1"/>
    </xf>
    <xf numFmtId="0" fontId="30" fillId="13" borderId="0" xfId="12" applyFont="1" applyFill="1" applyAlignment="1"/>
    <xf numFmtId="0" fontId="33" fillId="17" borderId="0" xfId="0" applyFont="1" applyFill="1" applyBorder="1" applyAlignment="1" applyProtection="1">
      <alignment horizontal="center"/>
    </xf>
    <xf numFmtId="0" fontId="33" fillId="13" borderId="0" xfId="13" applyFont="1" applyFill="1" applyAlignment="1" applyProtection="1">
      <alignment horizontal="left"/>
      <protection locked="0"/>
    </xf>
    <xf numFmtId="0" fontId="33" fillId="13" borderId="0" xfId="13" applyFont="1" applyFill="1" applyAlignment="1" applyProtection="1">
      <alignment horizontal="center"/>
      <protection locked="0"/>
    </xf>
    <xf numFmtId="0" fontId="36" fillId="17" borderId="0" xfId="6" applyFont="1" applyFill="1" applyBorder="1" applyAlignment="1" applyProtection="1">
      <protection locked="0"/>
    </xf>
    <xf numFmtId="0" fontId="37" fillId="17" borderId="0" xfId="5" applyFont="1" applyFill="1" applyAlignment="1" applyProtection="1">
      <protection locked="0"/>
    </xf>
    <xf numFmtId="0" fontId="33" fillId="17" borderId="21" xfId="5" applyFont="1" applyFill="1" applyBorder="1" applyAlignment="1" applyProtection="1">
      <alignment vertical="top" wrapText="1"/>
      <protection locked="0"/>
    </xf>
    <xf numFmtId="0" fontId="33" fillId="17" borderId="21" xfId="0" applyFont="1" applyFill="1" applyBorder="1" applyAlignment="1" applyProtection="1">
      <alignment vertical="top" wrapText="1"/>
      <protection locked="0"/>
    </xf>
    <xf numFmtId="0" fontId="35" fillId="17" borderId="0" xfId="13" applyFont="1" applyFill="1" applyBorder="1" applyAlignment="1" applyProtection="1">
      <alignment horizontal="left"/>
      <protection locked="0"/>
    </xf>
    <xf numFmtId="0" fontId="35" fillId="17" borderId="22" xfId="13" applyFont="1" applyFill="1" applyBorder="1" applyAlignment="1" applyProtection="1">
      <alignment horizontal="center"/>
      <protection locked="0"/>
    </xf>
    <xf numFmtId="0" fontId="35" fillId="17" borderId="0" xfId="13" applyFont="1" applyFill="1" applyBorder="1" applyAlignment="1" applyProtection="1">
      <alignment horizontal="center"/>
      <protection locked="0"/>
    </xf>
    <xf numFmtId="0" fontId="33" fillId="17" borderId="22" xfId="0" applyFont="1" applyFill="1" applyBorder="1" applyAlignment="1" applyProtection="1">
      <alignment horizontal="center"/>
      <protection locked="0"/>
    </xf>
    <xf numFmtId="0" fontId="33" fillId="17" borderId="22" xfId="13" applyFont="1" applyFill="1" applyBorder="1" applyAlignment="1" applyProtection="1">
      <alignment horizontal="center"/>
      <protection locked="0"/>
    </xf>
    <xf numFmtId="0" fontId="33" fillId="17" borderId="0" xfId="13" applyFont="1" applyFill="1" applyBorder="1" applyAlignment="1" applyProtection="1">
      <alignment horizontal="center"/>
      <protection locked="0"/>
    </xf>
    <xf numFmtId="0" fontId="33" fillId="17" borderId="22" xfId="0" applyFont="1" applyFill="1" applyBorder="1" applyAlignment="1" applyProtection="1">
      <alignment horizontal="center"/>
    </xf>
    <xf numFmtId="0" fontId="33" fillId="17" borderId="18" xfId="0" applyFont="1" applyFill="1" applyBorder="1" applyAlignment="1" applyProtection="1">
      <alignment horizontal="left"/>
    </xf>
    <xf numFmtId="0" fontId="33" fillId="17" borderId="22" xfId="13" applyFont="1" applyFill="1" applyBorder="1" applyAlignment="1" applyProtection="1">
      <alignment horizontal="center"/>
    </xf>
    <xf numFmtId="0" fontId="24" fillId="17" borderId="22" xfId="0" applyFont="1" applyFill="1" applyBorder="1" applyAlignment="1" applyProtection="1">
      <alignment horizontal="center"/>
    </xf>
    <xf numFmtId="0" fontId="31" fillId="17" borderId="22" xfId="13" applyFont="1" applyFill="1" applyBorder="1" applyAlignment="1" applyProtection="1">
      <alignment horizontal="center"/>
      <protection locked="0"/>
    </xf>
    <xf numFmtId="0" fontId="33" fillId="13" borderId="0" xfId="13" applyFont="1" applyFill="1" applyBorder="1" applyAlignment="1" applyProtection="1">
      <alignment horizontal="left"/>
      <protection locked="0"/>
    </xf>
    <xf numFmtId="0" fontId="31" fillId="17" borderId="0" xfId="13" applyFont="1" applyFill="1" applyBorder="1" applyAlignment="1" applyProtection="1">
      <alignment horizontal="center"/>
      <protection locked="0"/>
    </xf>
    <xf numFmtId="0" fontId="31" fillId="17" borderId="22" xfId="13" applyFont="1" applyFill="1" applyBorder="1" applyAlignment="1" applyProtection="1">
      <alignment horizontal="center"/>
    </xf>
    <xf numFmtId="0" fontId="31" fillId="17" borderId="0" xfId="13" applyNumberFormat="1" applyFont="1" applyFill="1" applyBorder="1" applyAlignment="1" applyProtection="1">
      <alignment horizontal="center"/>
    </xf>
    <xf numFmtId="49" fontId="31" fillId="17" borderId="0" xfId="13" applyNumberFormat="1" applyFont="1" applyFill="1" applyBorder="1" applyAlignment="1" applyProtection="1">
      <alignment horizontal="center"/>
    </xf>
    <xf numFmtId="0" fontId="31" fillId="13" borderId="0" xfId="13" applyFont="1" applyFill="1" applyBorder="1" applyAlignment="1" applyProtection="1">
      <alignment horizontal="left"/>
      <protection locked="0"/>
    </xf>
    <xf numFmtId="0" fontId="33" fillId="13" borderId="13" xfId="5" applyFont="1" applyFill="1" applyBorder="1" applyAlignment="1" applyProtection="1">
      <alignment horizontal="left"/>
    </xf>
    <xf numFmtId="0" fontId="31" fillId="13" borderId="13" xfId="5" applyFont="1" applyFill="1" applyBorder="1" applyAlignment="1" applyProtection="1">
      <alignment horizontal="left"/>
    </xf>
    <xf numFmtId="0" fontId="34" fillId="13" borderId="0" xfId="6" applyFont="1" applyFill="1" applyBorder="1" applyAlignment="1" applyProtection="1">
      <alignment horizontal="center" vertical="top" wrapText="1"/>
      <protection locked="0"/>
    </xf>
    <xf numFmtId="0" fontId="34" fillId="13" borderId="0" xfId="6" applyFont="1" applyFill="1" applyBorder="1" applyAlignment="1" applyProtection="1">
      <alignment horizontal="center" vertical="top"/>
      <protection locked="0"/>
    </xf>
    <xf numFmtId="0" fontId="31" fillId="17" borderId="19" xfId="0" applyFont="1" applyFill="1" applyBorder="1" applyProtection="1"/>
    <xf numFmtId="0" fontId="38" fillId="17" borderId="0" xfId="12" applyFont="1" applyFill="1" applyAlignment="1" applyProtection="1">
      <protection locked="0"/>
    </xf>
    <xf numFmtId="0" fontId="30" fillId="17" borderId="0" xfId="12" applyFont="1" applyFill="1" applyAlignment="1" applyProtection="1">
      <alignment horizontal="center"/>
      <protection locked="0"/>
    </xf>
    <xf numFmtId="0" fontId="34" fillId="17" borderId="0" xfId="6" applyFont="1" applyFill="1" applyBorder="1" applyAlignment="1"/>
    <xf numFmtId="0" fontId="38" fillId="13" borderId="0" xfId="12" applyFont="1" applyFill="1" applyAlignment="1" applyProtection="1">
      <alignment horizontal="left"/>
      <protection locked="0"/>
    </xf>
    <xf numFmtId="0" fontId="30" fillId="13" borderId="0" xfId="12" applyFont="1" applyFill="1" applyAlignment="1" applyProtection="1">
      <alignment horizontal="center"/>
      <protection locked="0"/>
    </xf>
    <xf numFmtId="0" fontId="34" fillId="13" borderId="0" xfId="6" applyFont="1" applyFill="1" applyBorder="1" applyAlignment="1"/>
    <xf numFmtId="0" fontId="38" fillId="17" borderId="0" xfId="12" applyFont="1" applyFill="1" applyAlignment="1" applyProtection="1">
      <alignment horizontal="left"/>
      <protection locked="0"/>
    </xf>
    <xf numFmtId="0" fontId="38" fillId="13" borderId="0" xfId="12" applyFont="1" applyFill="1" applyAlignment="1" applyProtection="1">
      <protection locked="0"/>
    </xf>
    <xf numFmtId="0" fontId="30" fillId="13" borderId="0" xfId="12" applyFont="1" applyFill="1" applyAlignment="1" applyProtection="1">
      <protection locked="0"/>
    </xf>
    <xf numFmtId="0" fontId="31" fillId="13" borderId="0" xfId="12" applyFont="1" applyFill="1" applyAlignment="1" applyProtection="1">
      <alignment horizontal="left"/>
      <protection locked="0"/>
    </xf>
    <xf numFmtId="0" fontId="31" fillId="13" borderId="0" xfId="12" applyFont="1" applyFill="1" applyAlignment="1" applyProtection="1">
      <alignment horizontal="center"/>
      <protection locked="0"/>
    </xf>
    <xf numFmtId="0" fontId="31" fillId="17" borderId="0" xfId="12" applyFont="1" applyFill="1" applyAlignment="1" applyProtection="1">
      <alignment horizontal="left"/>
      <protection locked="0"/>
    </xf>
    <xf numFmtId="0" fontId="31" fillId="17" borderId="0" xfId="12" applyFont="1" applyFill="1" applyAlignment="1" applyProtection="1">
      <alignment horizontal="center"/>
      <protection locked="0"/>
    </xf>
    <xf numFmtId="0" fontId="24" fillId="17" borderId="0" xfId="5" applyFont="1" applyFill="1" applyBorder="1" applyAlignment="1" applyProtection="1">
      <alignment horizontal="center"/>
    </xf>
    <xf numFmtId="0" fontId="40" fillId="17" borderId="0" xfId="6" applyFont="1" applyFill="1" applyBorder="1" applyAlignment="1" applyProtection="1">
      <alignment vertical="center"/>
      <protection locked="0"/>
    </xf>
    <xf numFmtId="0" fontId="54" fillId="14" borderId="0" xfId="5" applyFont="1" applyFill="1" applyBorder="1" applyAlignment="1" applyProtection="1"/>
    <xf numFmtId="0" fontId="54" fillId="14" borderId="0" xfId="5" applyFont="1" applyFill="1" applyBorder="1" applyProtection="1"/>
    <xf numFmtId="0" fontId="55" fillId="14" borderId="0" xfId="5" applyFont="1" applyFill="1" applyBorder="1" applyAlignment="1" applyProtection="1"/>
    <xf numFmtId="0" fontId="56" fillId="14" borderId="0" xfId="5" applyFont="1" applyFill="1" applyBorder="1" applyAlignment="1" applyProtection="1"/>
    <xf numFmtId="0" fontId="24" fillId="17" borderId="0" xfId="5" applyFont="1" applyFill="1" applyBorder="1" applyProtection="1">
      <protection locked="0"/>
    </xf>
    <xf numFmtId="0" fontId="32" fillId="17" borderId="0" xfId="6" applyFont="1" applyFill="1" applyBorder="1" applyAlignment="1" applyProtection="1">
      <alignment horizontal="center" wrapText="1"/>
      <protection locked="0"/>
    </xf>
    <xf numFmtId="0" fontId="24" fillId="15" borderId="0" xfId="5" applyFont="1" applyFill="1" applyBorder="1" applyProtection="1">
      <protection locked="0"/>
    </xf>
    <xf numFmtId="0" fontId="31" fillId="17" borderId="0" xfId="0" applyFont="1" applyFill="1" applyBorder="1" applyAlignment="1" applyProtection="1">
      <alignment horizontal="left"/>
      <protection locked="0"/>
    </xf>
    <xf numFmtId="0" fontId="33" fillId="17" borderId="0" xfId="5" applyFont="1" applyFill="1" applyBorder="1" applyProtection="1">
      <protection locked="0"/>
    </xf>
    <xf numFmtId="0" fontId="33" fillId="17" borderId="0" xfId="0" applyFont="1" applyFill="1" applyBorder="1" applyAlignment="1" applyProtection="1">
      <protection locked="0"/>
    </xf>
    <xf numFmtId="0" fontId="33" fillId="13" borderId="0" xfId="5" applyFont="1" applyFill="1" applyBorder="1" applyAlignment="1" applyProtection="1">
      <alignment horizontal="left"/>
      <protection locked="0"/>
    </xf>
    <xf numFmtId="0" fontId="31" fillId="13" borderId="0" xfId="5" applyFont="1" applyFill="1" applyBorder="1" applyAlignment="1" applyProtection="1">
      <alignment horizontal="left"/>
      <protection locked="0"/>
    </xf>
    <xf numFmtId="0" fontId="39" fillId="18" borderId="0" xfId="0" applyFont="1" applyFill="1" applyBorder="1" applyAlignment="1" applyProtection="1">
      <alignment horizontal="center" vertical="top" wrapText="1"/>
      <protection locked="0"/>
    </xf>
    <xf numFmtId="0" fontId="7" fillId="5" borderId="0" xfId="12" applyFont="1" applyFill="1" applyAlignment="1" applyProtection="1">
      <alignment horizontal="left"/>
      <protection locked="0"/>
    </xf>
    <xf numFmtId="0" fontId="7" fillId="5" borderId="0" xfId="12" applyFont="1" applyFill="1" applyAlignment="1" applyProtection="1">
      <alignment horizontal="center"/>
      <protection locked="0"/>
    </xf>
    <xf numFmtId="0" fontId="0" fillId="5" borderId="0" xfId="0" applyFont="1" applyFill="1" applyBorder="1" applyAlignment="1" applyProtection="1">
      <alignment horizontal="center"/>
      <protection locked="0"/>
    </xf>
    <xf numFmtId="0" fontId="6" fillId="17" borderId="0" xfId="6" applyFill="1" applyBorder="1" applyAlignment="1" applyProtection="1">
      <alignment horizontal="left"/>
      <protection locked="0"/>
    </xf>
    <xf numFmtId="0" fontId="6" fillId="18" borderId="0" xfId="6" applyFill="1" applyBorder="1" applyAlignment="1" applyProtection="1">
      <alignment horizontal="center" vertical="top" wrapText="1"/>
      <protection locked="0"/>
    </xf>
    <xf numFmtId="0" fontId="40" fillId="14" borderId="7" xfId="6" applyFont="1" applyFill="1" applyBorder="1" applyAlignment="1" applyProtection="1">
      <alignment horizontal="center" vertical="center"/>
      <protection locked="0"/>
    </xf>
    <xf numFmtId="0" fontId="40" fillId="14" borderId="0" xfId="6" applyFont="1" applyFill="1" applyBorder="1" applyAlignment="1" applyProtection="1">
      <alignment horizontal="center" vertical="center"/>
      <protection locked="0"/>
    </xf>
    <xf numFmtId="0" fontId="22" fillId="16" borderId="5" xfId="0" applyFont="1" applyFill="1" applyBorder="1" applyAlignment="1" applyProtection="1">
      <alignment horizontal="left" vertical="center"/>
    </xf>
    <xf numFmtId="0" fontId="22" fillId="16" borderId="0" xfId="0" applyFont="1" applyFill="1" applyBorder="1" applyAlignment="1" applyProtection="1">
      <alignment horizontal="left" vertical="center"/>
    </xf>
    <xf numFmtId="0" fontId="24" fillId="0" borderId="5" xfId="0" applyFont="1" applyBorder="1" applyAlignment="1" applyProtection="1">
      <alignment horizontal="left" vertical="top" wrapText="1"/>
      <protection locked="0"/>
    </xf>
    <xf numFmtId="0" fontId="24" fillId="0" borderId="10" xfId="0" applyFont="1" applyBorder="1" applyAlignment="1" applyProtection="1">
      <alignment horizontal="left" vertical="top"/>
      <protection locked="0"/>
    </xf>
    <xf numFmtId="0" fontId="50" fillId="13" borderId="0" xfId="9" applyFont="1" applyFill="1" applyBorder="1" applyAlignment="1" applyProtection="1">
      <alignment horizontal="left" vertical="top" wrapText="1"/>
    </xf>
    <xf numFmtId="0" fontId="50" fillId="4" borderId="0" xfId="9" applyFont="1" applyFill="1" applyBorder="1" applyAlignment="1" applyProtection="1">
      <alignment horizontal="left" vertical="top" wrapText="1"/>
    </xf>
    <xf numFmtId="0" fontId="24" fillId="0" borderId="10" xfId="0" applyFont="1" applyBorder="1" applyAlignment="1" applyProtection="1">
      <alignment horizontal="left" vertical="top" wrapText="1"/>
      <protection locked="0"/>
    </xf>
    <xf numFmtId="0" fontId="24" fillId="0" borderId="0" xfId="0" applyFont="1" applyBorder="1" applyAlignment="1" applyProtection="1">
      <alignment horizontal="left" vertical="top" wrapText="1"/>
      <protection locked="0"/>
    </xf>
    <xf numFmtId="14" fontId="24" fillId="0" borderId="0" xfId="0" applyNumberFormat="1" applyFont="1" applyBorder="1" applyAlignment="1" applyProtection="1">
      <alignment horizontal="left" vertical="top"/>
      <protection locked="0"/>
    </xf>
    <xf numFmtId="0" fontId="24" fillId="0" borderId="0" xfId="0" applyFont="1" applyBorder="1" applyAlignment="1" applyProtection="1">
      <alignment horizontal="left" vertical="top"/>
      <protection locked="0"/>
    </xf>
    <xf numFmtId="0" fontId="24" fillId="0" borderId="5" xfId="0" applyFont="1" applyBorder="1" applyAlignment="1" applyProtection="1">
      <alignment horizontal="left" vertical="top"/>
      <protection locked="0"/>
    </xf>
    <xf numFmtId="0" fontId="30" fillId="17" borderId="0" xfId="3" applyFont="1" applyFill="1" applyBorder="1" applyAlignment="1" applyProtection="1">
      <alignment horizontal="left" wrapText="1"/>
    </xf>
    <xf numFmtId="0" fontId="30" fillId="5" borderId="0" xfId="3" applyFont="1" applyFill="1" applyBorder="1" applyAlignment="1" applyProtection="1">
      <alignment horizontal="left" wrapText="1"/>
    </xf>
    <xf numFmtId="0" fontId="30" fillId="5" borderId="18" xfId="3" applyFont="1" applyFill="1" applyBorder="1" applyAlignment="1" applyProtection="1">
      <alignment horizontal="left" wrapText="1"/>
    </xf>
    <xf numFmtId="0" fontId="29" fillId="17" borderId="0" xfId="0" applyFont="1" applyFill="1" applyAlignment="1">
      <alignment wrapText="1"/>
    </xf>
    <xf numFmtId="0" fontId="29" fillId="5" borderId="0" xfId="0" applyFont="1" applyFill="1" applyAlignment="1">
      <alignment wrapText="1"/>
    </xf>
    <xf numFmtId="0" fontId="31" fillId="0" borderId="11" xfId="1" applyFont="1" applyFill="1" applyBorder="1" applyAlignment="1" applyProtection="1">
      <alignment horizontal="left" wrapText="1"/>
    </xf>
    <xf numFmtId="0" fontId="31" fillId="0" borderId="9" xfId="1" applyFont="1" applyFill="1" applyBorder="1" applyAlignment="1" applyProtection="1">
      <alignment horizontal="left" wrapText="1"/>
    </xf>
    <xf numFmtId="0" fontId="31" fillId="0" borderId="6" xfId="1" applyFont="1" applyFill="1" applyBorder="1" applyAlignment="1" applyProtection="1">
      <alignment horizontal="left" vertical="top" wrapText="1"/>
    </xf>
    <xf numFmtId="0" fontId="31" fillId="0" borderId="12" xfId="1" applyFont="1" applyFill="1" applyBorder="1" applyAlignment="1" applyProtection="1">
      <alignment horizontal="left" vertical="top" wrapText="1"/>
    </xf>
    <xf numFmtId="0" fontId="34" fillId="17" borderId="0" xfId="6" applyFont="1" applyFill="1" applyBorder="1" applyAlignment="1" applyProtection="1">
      <alignment horizontal="left" wrapText="1"/>
      <protection locked="0"/>
    </xf>
    <xf numFmtId="0" fontId="34" fillId="5" borderId="0" xfId="6" applyFont="1" applyFill="1" applyBorder="1" applyAlignment="1" applyProtection="1">
      <alignment horizontal="left" wrapText="1"/>
      <protection locked="0"/>
    </xf>
    <xf numFmtId="0" fontId="28" fillId="8" borderId="0" xfId="5" applyFont="1" applyFill="1" applyBorder="1" applyAlignment="1" applyProtection="1">
      <alignment horizontal="left" vertical="center" wrapText="1"/>
    </xf>
    <xf numFmtId="0" fontId="39" fillId="9" borderId="0" xfId="0" applyFont="1" applyFill="1" applyBorder="1" applyAlignment="1" applyProtection="1">
      <alignment horizontal="center" vertical="top" wrapText="1"/>
    </xf>
    <xf numFmtId="0" fontId="39" fillId="9" borderId="18" xfId="0" applyFont="1" applyFill="1" applyBorder="1" applyAlignment="1" applyProtection="1">
      <alignment horizontal="center" vertical="top" wrapText="1"/>
    </xf>
    <xf numFmtId="0" fontId="34" fillId="13" borderId="0" xfId="6" applyFont="1" applyFill="1" applyBorder="1" applyAlignment="1" applyProtection="1">
      <alignment horizontal="center" vertical="top" wrapText="1"/>
      <protection locked="0"/>
    </xf>
    <xf numFmtId="0" fontId="34" fillId="4" borderId="0" xfId="6" applyFont="1" applyFill="1" applyBorder="1" applyAlignment="1" applyProtection="1">
      <alignment horizontal="center" vertical="top" wrapText="1"/>
      <protection locked="0"/>
    </xf>
    <xf numFmtId="0" fontId="34" fillId="17" borderId="0" xfId="6" applyFont="1" applyFill="1" applyBorder="1" applyAlignment="1" applyProtection="1">
      <alignment horizontal="center" vertical="top" wrapText="1"/>
      <protection locked="0"/>
    </xf>
    <xf numFmtId="0" fontId="34" fillId="5" borderId="0" xfId="6" applyFont="1" applyFill="1" applyBorder="1" applyAlignment="1" applyProtection="1">
      <alignment horizontal="center" vertical="top" wrapText="1"/>
      <protection locked="0"/>
    </xf>
    <xf numFmtId="0" fontId="34" fillId="17" borderId="0" xfId="6" applyFont="1" applyFill="1" applyAlignment="1">
      <alignment horizontal="center" vertical="top" wrapText="1"/>
    </xf>
    <xf numFmtId="0" fontId="34" fillId="5" borderId="0" xfId="6" applyFont="1" applyFill="1" applyAlignment="1">
      <alignment horizontal="center" vertical="top" wrapText="1"/>
    </xf>
    <xf numFmtId="0" fontId="41" fillId="14" borderId="0" xfId="6" applyFont="1" applyFill="1" applyBorder="1" applyAlignment="1" applyProtection="1">
      <alignment horizontal="center" vertical="center"/>
      <protection locked="0"/>
    </xf>
    <xf numFmtId="0" fontId="22" fillId="16" borderId="5" xfId="0" applyFont="1" applyFill="1" applyBorder="1" applyAlignment="1" applyProtection="1">
      <alignment horizontal="left"/>
    </xf>
    <xf numFmtId="0" fontId="22" fillId="16" borderId="0" xfId="0" applyFont="1" applyFill="1" applyBorder="1" applyAlignment="1" applyProtection="1">
      <alignment horizontal="left"/>
    </xf>
    <xf numFmtId="0" fontId="0" fillId="0" borderId="0" xfId="0" applyAlignment="1">
      <alignment horizontal="left" vertical="top" wrapText="1"/>
    </xf>
    <xf numFmtId="0" fontId="0" fillId="0" borderId="10" xfId="0" applyBorder="1" applyAlignment="1">
      <alignment horizontal="left" vertical="top" wrapText="1"/>
    </xf>
  </cellXfs>
  <cellStyles count="14">
    <cellStyle name="20 % – uthevingsfarge 1" xfId="5" builtinId="30"/>
    <cellStyle name="40 % – uthevingsfarge 1" xfId="8" builtinId="31"/>
    <cellStyle name="Bestillingsskjema knapp" xfId="10" xr:uid="{00000000-0005-0000-0000-000002000000}"/>
    <cellStyle name="Bestillingsskjema overskrift 1" xfId="12" xr:uid="{00000000-0005-0000-0000-000003000000}"/>
    <cellStyle name="Bestillingsskjema overskrift 2" xfId="13" xr:uid="{00000000-0005-0000-0000-000004000000}"/>
    <cellStyle name="Bestillingsskjema tilleggsinfo" xfId="11" xr:uid="{00000000-0005-0000-0000-000005000000}"/>
    <cellStyle name="Forklarende tekst" xfId="9" builtinId="53"/>
    <cellStyle name="Hyperkobling" xfId="6" builtinId="8" customBuiltin="1"/>
    <cellStyle name="Normal" xfId="0" builtinId="0" customBuiltin="1"/>
    <cellStyle name="Overskrift 1" xfId="1" builtinId="16"/>
    <cellStyle name="Overskrift 2" xfId="2" builtinId="17"/>
    <cellStyle name="Overskrift 3" xfId="3" builtinId="18"/>
    <cellStyle name="Tittel" xfId="7" builtinId="15"/>
    <cellStyle name="Utdata" xfId="4" builtinId="21"/>
  </cellStyles>
  <dxfs count="202">
    <dxf>
      <fill>
        <patternFill>
          <bgColor rgb="FF00B0F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fill>
        <patternFill>
          <bgColor rgb="FF00B0F0"/>
        </patternFill>
      </fill>
      <border>
        <left style="thin">
          <color auto="1"/>
        </left>
        <right style="thin">
          <color auto="1"/>
        </right>
        <top style="thin">
          <color auto="1"/>
        </top>
        <bottom style="thin">
          <color auto="1"/>
        </bottom>
        <vertical/>
        <horizontal/>
      </border>
    </dxf>
    <dxf>
      <border>
        <top style="hair">
          <color auto="1"/>
        </top>
        <bottom style="hair">
          <color auto="1"/>
        </bottom>
        <vertical/>
        <horizontal/>
      </border>
    </dxf>
    <dxf>
      <border>
        <top style="hair">
          <color auto="1"/>
        </top>
        <bottom style="hair">
          <color auto="1"/>
        </bottom>
        <vertical/>
        <horizontal/>
      </border>
    </dxf>
    <dxf>
      <border>
        <top style="hair">
          <color auto="1"/>
        </top>
        <bottom style="hair">
          <color auto="1"/>
        </bottom>
        <vertical/>
        <horizontal/>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7" tint="0.59996337778862885"/>
        </patternFill>
      </fill>
    </dxf>
    <dxf>
      <fill>
        <patternFill>
          <bgColor theme="9" tint="0.59996337778862885"/>
        </patternFill>
      </fill>
    </dxf>
    <dxf>
      <fill>
        <patternFill>
          <bgColor theme="6" tint="0.59996337778862885"/>
        </patternFill>
      </fill>
    </dxf>
    <dxf>
      <fill>
        <patternFill>
          <bgColor theme="7"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vertical/>
        <horizontal/>
      </border>
    </dxf>
    <dxf>
      <fill>
        <patternFill>
          <bgColor theme="9" tint="0.59996337778862885"/>
        </patternFill>
      </fill>
      <border>
        <left style="thin">
          <color auto="1"/>
        </left>
        <right style="thin">
          <color auto="1"/>
        </right>
        <top style="thin">
          <color auto="1"/>
        </top>
        <bottom style="thin">
          <color auto="1"/>
        </bottom>
        <vertical/>
        <horizontal/>
      </border>
    </dxf>
    <dxf>
      <fill>
        <patternFill>
          <bgColor theme="7" tint="0.59996337778862885"/>
        </patternFill>
      </fill>
      <border>
        <left style="thin">
          <color auto="1"/>
        </left>
        <right style="thin">
          <color auto="1"/>
        </right>
        <top style="thin">
          <color auto="1"/>
        </top>
        <bottom style="thin">
          <color auto="1"/>
        </bottom>
      </border>
    </dxf>
    <dxf>
      <fill>
        <patternFill>
          <bgColor theme="9"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0"/>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dxf>
    <dxf>
      <fill>
        <patternFill>
          <bgColor theme="6" tint="0.59996337778862885"/>
        </patternFill>
      </fill>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6" tint="0.59996337778862885"/>
        </patternFill>
      </fill>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6" tint="0.59996337778862885"/>
        </patternFill>
      </fill>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ill>
        <patternFill>
          <bgColor theme="6" tint="0.59996337778862885"/>
        </patternFill>
      </fill>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border>
    </dxf>
    <dxf>
      <font>
        <b val="0"/>
        <i val="0"/>
      </font>
      <fill>
        <patternFill>
          <bgColor theme="6" tint="0.59996337778862885"/>
        </patternFill>
      </fill>
    </dxf>
    <dxf>
      <fill>
        <patternFill>
          <bgColor theme="0"/>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
      <fill>
        <patternFill>
          <bgColor theme="6" tint="0.59996337778862885"/>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
      <fill>
        <patternFill>
          <bgColor theme="6" tint="0.59996337778862885"/>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
      <fill>
        <patternFill>
          <bgColor theme="6" tint="0.59996337778862885"/>
        </patternFill>
      </fill>
      <border>
        <left style="thin">
          <color auto="1"/>
        </left>
        <right style="thin">
          <color auto="1"/>
        </right>
        <top style="thin">
          <color auto="1"/>
        </top>
        <bottom style="thin">
          <color auto="1"/>
        </bottom>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ont>
        <b/>
        <i val="0"/>
      </font>
      <fill>
        <patternFill>
          <bgColor rgb="FFFFFFCC"/>
        </patternFill>
      </fill>
      <border>
        <left style="thin">
          <color auto="1"/>
        </left>
        <right style="thin">
          <color auto="1"/>
        </right>
        <top style="thin">
          <color auto="1"/>
        </top>
        <bottom style="thin">
          <color auto="1"/>
        </bottom>
        <vertical/>
        <horizontal/>
      </border>
    </dxf>
    <dxf>
      <border>
        <vertical/>
        <horizontal/>
      </border>
    </dxf>
    <dxf>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ill>
        <patternFill>
          <bgColor theme="6" tint="0.59996337778862885"/>
        </patternFill>
      </fill>
      <border>
        <left style="thin">
          <color auto="1"/>
        </left>
        <right style="thin">
          <color auto="1"/>
        </right>
        <top style="thin">
          <color auto="1"/>
        </top>
        <bottom style="thin">
          <color auto="1"/>
        </bottom>
      </border>
    </dxf>
    <dxf>
      <fill>
        <patternFill>
          <bgColor theme="6" tint="0.59996337778862885"/>
        </patternFill>
      </fill>
      <border>
        <left style="thin">
          <color auto="1"/>
        </left>
        <right style="thin">
          <color auto="1"/>
        </right>
        <top style="thin">
          <color auto="1"/>
        </top>
        <bottom style="thin">
          <color auto="1"/>
        </bottom>
      </border>
    </dxf>
    <dxf>
      <font>
        <b val="0"/>
        <i val="0"/>
      </font>
      <fill>
        <patternFill>
          <bgColor theme="6" tint="0.59996337778862885"/>
        </patternFill>
      </fill>
      <border>
        <left style="thin">
          <color auto="1"/>
        </left>
        <right style="thin">
          <color auto="1"/>
        </right>
        <top style="thin">
          <color auto="1"/>
        </top>
        <bottom style="thin">
          <color auto="1"/>
        </bottom>
        <vertical/>
        <horizontal/>
      </border>
    </dxf>
    <dxf>
      <font>
        <b val="0"/>
        <i val="0"/>
      </font>
      <fill>
        <patternFill>
          <bgColor theme="6" tint="0.59996337778862885"/>
        </patternFill>
      </fill>
    </dxf>
  </dxfs>
  <tableStyles count="0" defaultTableStyle="TableStyleMedium2" defaultPivotStyle="PivotStyleLight16"/>
  <colors>
    <mruColors>
      <color rgb="FF0000FF"/>
      <color rgb="FFF3EBC6"/>
      <color rgb="FFBDDB9B"/>
      <color rgb="FF808080"/>
      <color rgb="FFD4D4D4"/>
      <color rgb="FF3E8601"/>
      <color rgb="FFF2F2F2"/>
      <color rgb="FFDCE6F1"/>
      <color rgb="FFF6F9FC"/>
      <color rgb="FFF1F5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2</xdr:col>
      <xdr:colOff>35129</xdr:colOff>
      <xdr:row>2</xdr:row>
      <xdr:rowOff>99791</xdr:rowOff>
    </xdr:to>
    <xdr:pic>
      <xdr:nvPicPr>
        <xdr:cNvPr id="3" name="Bilde 2">
          <a:extLst>
            <a:ext uri="{FF2B5EF4-FFF2-40B4-BE49-F238E27FC236}">
              <a16:creationId xmlns:a16="http://schemas.microsoft.com/office/drawing/2014/main" id="{7925934B-8738-4020-9EAC-5CB11BB77C0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38100"/>
          <a:ext cx="3025979" cy="7855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0</xdr:col>
      <xdr:colOff>3029789</xdr:colOff>
      <xdr:row>2</xdr:row>
      <xdr:rowOff>57881</xdr:rowOff>
    </xdr:to>
    <xdr:pic>
      <xdr:nvPicPr>
        <xdr:cNvPr id="3" name="Bilde 2">
          <a:extLst>
            <a:ext uri="{FF2B5EF4-FFF2-40B4-BE49-F238E27FC236}">
              <a16:creationId xmlns:a16="http://schemas.microsoft.com/office/drawing/2014/main" id="{B97938C4-C4E3-4CD4-A8FF-6F02B2D8CC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3025979" cy="78559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47625</xdr:rowOff>
    </xdr:from>
    <xdr:to>
      <xdr:col>0</xdr:col>
      <xdr:colOff>3025979</xdr:colOff>
      <xdr:row>2</xdr:row>
      <xdr:rowOff>63596</xdr:rowOff>
    </xdr:to>
    <xdr:pic>
      <xdr:nvPicPr>
        <xdr:cNvPr id="4" name="Bilde 3">
          <a:extLst>
            <a:ext uri="{FF2B5EF4-FFF2-40B4-BE49-F238E27FC236}">
              <a16:creationId xmlns:a16="http://schemas.microsoft.com/office/drawing/2014/main" id="{FAC9A823-4AFF-44CB-BC13-893706B29BD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47625"/>
          <a:ext cx="3025979" cy="785591"/>
        </a:xfrm>
        <a:prstGeom prst="rect">
          <a:avLst/>
        </a:prstGeom>
      </xdr:spPr>
    </xdr:pic>
    <xdr:clientData/>
  </xdr:twoCellAnchor>
</xdr:wsDr>
</file>

<file path=xl/theme/theme1.xml><?xml version="1.0" encoding="utf-8"?>
<a:theme xmlns:a="http://schemas.openxmlformats.org/drawingml/2006/main" name="Office-tema">
  <a:themeElements>
    <a:clrScheme name="1SSB">
      <a:dk1>
        <a:sysClr val="windowText" lastClr="000000"/>
      </a:dk1>
      <a:lt1>
        <a:sysClr val="window" lastClr="FFFFFF"/>
      </a:lt1>
      <a:dk2>
        <a:srgbClr val="274247"/>
      </a:dk2>
      <a:lt2>
        <a:srgbClr val="E7ECEC"/>
      </a:lt2>
      <a:accent1>
        <a:srgbClr val="90CC93"/>
      </a:accent1>
      <a:accent2>
        <a:srgbClr val="E3F1E6"/>
      </a:accent2>
      <a:accent3>
        <a:srgbClr val="F2F2F2"/>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www.ssb.no/utdanning/norsk-standard-for-utdanningsgruppering" TargetMode="External"/><Relationship Id="rId2" Type="http://schemas.openxmlformats.org/officeDocument/2006/relationships/hyperlink" Target="http://www.ssb.no/utdanning/artikler-og-publikasjoner/nasjonal-utdanningsdatabase-nudb?fane=om" TargetMode="External"/><Relationship Id="rId1" Type="http://schemas.openxmlformats.org/officeDocument/2006/relationships/hyperlink" Target="http://www.ssb.no/utdanning" TargetMode="Externa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hyperlink" Target="https://www.ssb.no/a/metadata/nudb_variabeldokumentasjon.htm"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ssb.no/a/metadata/nudb_variabeldokumentasjon.htm" TargetMode="External"/><Relationship Id="rId13" Type="http://schemas.openxmlformats.org/officeDocument/2006/relationships/hyperlink" Target="https://www.ssb.no/utdanning/norsk-standard-for-utdanningsgruppering" TargetMode="External"/><Relationship Id="rId18" Type="http://schemas.openxmlformats.org/officeDocument/2006/relationships/comments" Target="../comments1.xml"/><Relationship Id="rId3" Type="http://schemas.openxmlformats.org/officeDocument/2006/relationships/hyperlink" Target="https://www.ssb.no/a/metadata/nudb_variabeldokumentasjon.htm" TargetMode="External"/><Relationship Id="rId7" Type="http://schemas.openxmlformats.org/officeDocument/2006/relationships/hyperlink" Target="http://www.ssb.no/a/metadata/nudb_variabeldokumentasjon.htm" TargetMode="External"/><Relationship Id="rId12" Type="http://schemas.openxmlformats.org/officeDocument/2006/relationships/hyperlink" Target="https://www.ssb.no/a/metadata/nudb_variabeldokumentasjon.htm" TargetMode="External"/><Relationship Id="rId17" Type="http://schemas.openxmlformats.org/officeDocument/2006/relationships/vmlDrawing" Target="../drawings/vmlDrawing1.vml"/><Relationship Id="rId2" Type="http://schemas.openxmlformats.org/officeDocument/2006/relationships/hyperlink" Target="http://www.ssb.no/a/metadata/nudb_variabeldokumentasjon.htm" TargetMode="External"/><Relationship Id="rId16" Type="http://schemas.openxmlformats.org/officeDocument/2006/relationships/drawing" Target="../drawings/drawing2.xml"/><Relationship Id="rId1" Type="http://schemas.openxmlformats.org/officeDocument/2006/relationships/hyperlink" Target="http://www.ssb.no/utdanning/_attachment/283616?_ts=1583e453200" TargetMode="External"/><Relationship Id="rId6" Type="http://schemas.openxmlformats.org/officeDocument/2006/relationships/hyperlink" Target="http://www.ssb.no/a/metadata/nudb_variabeldokumentasjon.htm" TargetMode="External"/><Relationship Id="rId11" Type="http://schemas.openxmlformats.org/officeDocument/2006/relationships/hyperlink" Target="http://www.ssb.no/a/metadata/nudb_variabeldokumentasjon.htm" TargetMode="External"/><Relationship Id="rId5" Type="http://schemas.openxmlformats.org/officeDocument/2006/relationships/hyperlink" Target="http://www.ssb.no/a/metadata/nudb_variabeldokumentasjon.htm" TargetMode="External"/><Relationship Id="rId15" Type="http://schemas.openxmlformats.org/officeDocument/2006/relationships/printerSettings" Target="../printerSettings/printerSettings2.bin"/><Relationship Id="rId10" Type="http://schemas.openxmlformats.org/officeDocument/2006/relationships/hyperlink" Target="http://www.ssb.no/a/metadata/nudb_variabeldokumentasjon.htm" TargetMode="External"/><Relationship Id="rId4" Type="http://schemas.openxmlformats.org/officeDocument/2006/relationships/hyperlink" Target="https://www.ssb.no/a/metadata/nudb_variabeldokumentasjon.htm" TargetMode="External"/><Relationship Id="rId9" Type="http://schemas.openxmlformats.org/officeDocument/2006/relationships/hyperlink" Target="http://www.ssb.no/a/metadata/nudb_variabeldokumentasjon.htm" TargetMode="External"/><Relationship Id="rId14" Type="http://schemas.openxmlformats.org/officeDocument/2006/relationships/hyperlink" Target="https://www.ssb.no/a/metadata/nudb_variabeldokumentasjon.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www.ssb.no/a/metadata/om_datasamlinger/virksomhets-_og_foretaksregisteret/nudb/nudb_variabelliste.html" TargetMode="External"/><Relationship Id="rId18" Type="http://schemas.openxmlformats.org/officeDocument/2006/relationships/hyperlink" Target="http://www.ssb.no/a/metadata/om_datasamlinger/nudb/nudb_variabeldokumentasjon.html" TargetMode="External"/><Relationship Id="rId26" Type="http://schemas.openxmlformats.org/officeDocument/2006/relationships/hyperlink" Target="https://microdata.no/discovery/" TargetMode="External"/><Relationship Id="rId39" Type="http://schemas.openxmlformats.org/officeDocument/2006/relationships/hyperlink" Target="https://microdata.no/discovery/" TargetMode="External"/><Relationship Id="rId21" Type="http://schemas.openxmlformats.org/officeDocument/2006/relationships/hyperlink" Target="https://www.ssb.no/utdanning/artikler-og-publikasjoner/hvordan-klassifiseres-en-persons-hoyeste-utdanningsniva" TargetMode="External"/><Relationship Id="rId34" Type="http://schemas.openxmlformats.org/officeDocument/2006/relationships/hyperlink" Target="https://microdata.no/discovery/" TargetMode="External"/><Relationship Id="rId42" Type="http://schemas.openxmlformats.org/officeDocument/2006/relationships/hyperlink" Target="https://microdata.no/" TargetMode="External"/><Relationship Id="rId47" Type="http://schemas.openxmlformats.org/officeDocument/2006/relationships/vmlDrawing" Target="../drawings/vmlDrawing2.vml"/><Relationship Id="rId7" Type="http://schemas.openxmlformats.org/officeDocument/2006/relationships/hyperlink" Target="http://www.ssb.no/a/metadata/nudb_variabeldokumentasjon.htm" TargetMode="External"/><Relationship Id="rId2" Type="http://schemas.openxmlformats.org/officeDocument/2006/relationships/hyperlink" Target="http://www.ssb.no/a/metadata/om_datasamlinger/virksomhets-_og_foretaksregisteret/nudb/nudb_variabelliste.html" TargetMode="External"/><Relationship Id="rId16" Type="http://schemas.openxmlformats.org/officeDocument/2006/relationships/hyperlink" Target="http://www.ssb.no/a/metadata/nudb_variabeldokumentasjon.htm" TargetMode="External"/><Relationship Id="rId29" Type="http://schemas.openxmlformats.org/officeDocument/2006/relationships/hyperlink" Target="https://microdata.no/discovery/" TargetMode="External"/><Relationship Id="rId1" Type="http://schemas.openxmlformats.org/officeDocument/2006/relationships/hyperlink" Target="http://www.ssb.no/a/metadata/om_datasamlinger/virksomhets-_og_foretaksregisteret/nudb/nudb_variabelliste.html" TargetMode="External"/><Relationship Id="rId6" Type="http://schemas.openxmlformats.org/officeDocument/2006/relationships/hyperlink" Target="http://www.ssb.no/a/metadata/om_datasamlinger/virksomhets-_og_foretaksregisteret/nudb/nudb_variabelliste.html" TargetMode="External"/><Relationship Id="rId11" Type="http://schemas.openxmlformats.org/officeDocument/2006/relationships/hyperlink" Target="http://www.ssb.no/a/metadata/nudb_variabeldokumentasjon.htm" TargetMode="External"/><Relationship Id="rId24" Type="http://schemas.openxmlformats.org/officeDocument/2006/relationships/hyperlink" Target="http://www.ssb.no/klass/" TargetMode="External"/><Relationship Id="rId32" Type="http://schemas.openxmlformats.org/officeDocument/2006/relationships/hyperlink" Target="https://microdata.no/discovery/" TargetMode="External"/><Relationship Id="rId37" Type="http://schemas.openxmlformats.org/officeDocument/2006/relationships/hyperlink" Target="https://microdata.no/discovery/" TargetMode="External"/><Relationship Id="rId40" Type="http://schemas.openxmlformats.org/officeDocument/2006/relationships/hyperlink" Target="https://microdata.no/discovery/" TargetMode="External"/><Relationship Id="rId45" Type="http://schemas.openxmlformats.org/officeDocument/2006/relationships/printerSettings" Target="../printerSettings/printerSettings3.bin"/><Relationship Id="rId5" Type="http://schemas.openxmlformats.org/officeDocument/2006/relationships/hyperlink" Target="http://www.ssb.no/a/metadata/om_datasamlinger/virksomhets-_og_foretaksregisteret/nudb/nudb_variabelliste.html" TargetMode="External"/><Relationship Id="rId15" Type="http://schemas.openxmlformats.org/officeDocument/2006/relationships/hyperlink" Target="https://www.ssb.no/utdanning/artikler-og-publikasjoner/hvordan-klassifiseres-en-persons-hoyeste-utdanningsniva" TargetMode="External"/><Relationship Id="rId23" Type="http://schemas.openxmlformats.org/officeDocument/2006/relationships/hyperlink" Target="http://www.ssb.no/klass/" TargetMode="External"/><Relationship Id="rId28" Type="http://schemas.openxmlformats.org/officeDocument/2006/relationships/hyperlink" Target="https://microdata.no/discovery/" TargetMode="External"/><Relationship Id="rId36" Type="http://schemas.openxmlformats.org/officeDocument/2006/relationships/hyperlink" Target="https://microdata.no/discovery/" TargetMode="External"/><Relationship Id="rId10" Type="http://schemas.openxmlformats.org/officeDocument/2006/relationships/hyperlink" Target="http://www.ssb.no/a/metadata/nudb_variabeldokumentasjon.htm" TargetMode="External"/><Relationship Id="rId19" Type="http://schemas.openxmlformats.org/officeDocument/2006/relationships/hyperlink" Target="http://www.ssb.no/a/metadata/om_datasamlinger/virksomhets-_og_foretaksregisteret/nudb/nudb_variabelliste.html" TargetMode="External"/><Relationship Id="rId31" Type="http://schemas.openxmlformats.org/officeDocument/2006/relationships/hyperlink" Target="https://microdata.no/discovery/" TargetMode="External"/><Relationship Id="rId44" Type="http://schemas.openxmlformats.org/officeDocument/2006/relationships/hyperlink" Target="https://microdata.no/discovery/" TargetMode="External"/><Relationship Id="rId4" Type="http://schemas.openxmlformats.org/officeDocument/2006/relationships/hyperlink" Target="http://www.ssb.no/a/metadata/om_datasamlinger/virksomhets-_og_foretaksregisteret/nudb/nudb_variabelliste.html" TargetMode="External"/><Relationship Id="rId9" Type="http://schemas.openxmlformats.org/officeDocument/2006/relationships/hyperlink" Target="http://www.ssb.no/a/metadata/nudb_variabeldokumentasjon.htm" TargetMode="External"/><Relationship Id="rId14" Type="http://schemas.openxmlformats.org/officeDocument/2006/relationships/hyperlink" Target="http://www.ssb.no/a/metadata/nudb_variabeldokumentasjon.htm" TargetMode="External"/><Relationship Id="rId22" Type="http://schemas.openxmlformats.org/officeDocument/2006/relationships/hyperlink" Target="https://www.ssb.no/a/metadata/nudb_variabeldokumentasjon.htm" TargetMode="External"/><Relationship Id="rId27" Type="http://schemas.openxmlformats.org/officeDocument/2006/relationships/hyperlink" Target="https://microdata.no/discovery/" TargetMode="External"/><Relationship Id="rId30" Type="http://schemas.openxmlformats.org/officeDocument/2006/relationships/hyperlink" Target="https://microdata.no/discovery/" TargetMode="External"/><Relationship Id="rId35" Type="http://schemas.openxmlformats.org/officeDocument/2006/relationships/hyperlink" Target="https://microdata.no/discovery/" TargetMode="External"/><Relationship Id="rId43" Type="http://schemas.openxmlformats.org/officeDocument/2006/relationships/hyperlink" Target="https://www.ssb.no/klass/klassifikasjoner/225" TargetMode="External"/><Relationship Id="rId48" Type="http://schemas.openxmlformats.org/officeDocument/2006/relationships/comments" Target="../comments2.xml"/><Relationship Id="rId8" Type="http://schemas.openxmlformats.org/officeDocument/2006/relationships/hyperlink" Target="http://www.ssb.no/a/metadata/nudb_variabeldokumentasjon.htm" TargetMode="External"/><Relationship Id="rId3" Type="http://schemas.openxmlformats.org/officeDocument/2006/relationships/hyperlink" Target="http://www.ssb.no/a/metadata/om_datasamlinger/virksomhets-_og_foretaksregisteret/nudb/nudb_variabelliste.html" TargetMode="External"/><Relationship Id="rId12" Type="http://schemas.openxmlformats.org/officeDocument/2006/relationships/hyperlink" Target="http://www.ssb.no/a/metadata/nudb_variabeldokumentasjon.htm" TargetMode="External"/><Relationship Id="rId17" Type="http://schemas.openxmlformats.org/officeDocument/2006/relationships/hyperlink" Target="http://www.ssb.no/a/metadata/om_datasamlinger/nudb/nudb_variabeldokumentasjon.html" TargetMode="External"/><Relationship Id="rId25" Type="http://schemas.openxmlformats.org/officeDocument/2006/relationships/hyperlink" Target="https://www.ssb.no/a/metadata/nudb_variabeldokumentasjon.htm" TargetMode="External"/><Relationship Id="rId33" Type="http://schemas.openxmlformats.org/officeDocument/2006/relationships/hyperlink" Target="https://microdata.no/discovery/" TargetMode="External"/><Relationship Id="rId38" Type="http://schemas.openxmlformats.org/officeDocument/2006/relationships/hyperlink" Target="https://microdata.no/discovery/" TargetMode="External"/><Relationship Id="rId46" Type="http://schemas.openxmlformats.org/officeDocument/2006/relationships/drawing" Target="../drawings/drawing3.xml"/><Relationship Id="rId20" Type="http://schemas.openxmlformats.org/officeDocument/2006/relationships/hyperlink" Target="https://www.ssb.no/utdanning/artikler-og-publikasjoner/hvordan-klassifiseres-en-persons-hoyeste-utdanningsniva" TargetMode="External"/><Relationship Id="rId41" Type="http://schemas.openxmlformats.org/officeDocument/2006/relationships/hyperlink" Target="https://microdata.no/discovery/"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H40"/>
  <sheetViews>
    <sheetView showGridLines="0" tabSelected="1" topLeftCell="A16" zoomScaleNormal="100" workbookViewId="0">
      <selection activeCell="B36" sqref="B36:C36"/>
    </sheetView>
  </sheetViews>
  <sheetFormatPr baseColWidth="10" defaultColWidth="11.44140625" defaultRowHeight="13.8"/>
  <cols>
    <col min="1" max="1" width="14" style="109" customWidth="1"/>
    <col min="2" max="2" width="30.88671875" style="109" bestFit="1" customWidth="1"/>
    <col min="3" max="3" width="68.5546875" style="109" customWidth="1"/>
    <col min="4" max="4" width="14.6640625" style="109" customWidth="1"/>
    <col min="5" max="5" width="7.6640625" style="109" customWidth="1"/>
    <col min="6" max="6" width="5.5546875" style="109" customWidth="1"/>
    <col min="7" max="16384" width="11.44140625" style="109"/>
  </cols>
  <sheetData>
    <row r="1" spans="1:8" ht="27" customHeight="1">
      <c r="A1" s="279"/>
      <c r="B1" s="279"/>
      <c r="C1" s="106" t="s">
        <v>360</v>
      </c>
      <c r="D1" s="107"/>
      <c r="E1" s="108"/>
      <c r="F1" s="82"/>
      <c r="G1" s="108"/>
      <c r="H1" s="108"/>
    </row>
    <row r="2" spans="1:8" ht="30" customHeight="1">
      <c r="A2" s="280"/>
      <c r="B2" s="280"/>
      <c r="C2" s="110" t="s">
        <v>21</v>
      </c>
      <c r="D2" s="111"/>
      <c r="E2" s="108"/>
      <c r="F2" s="82"/>
      <c r="G2" s="108"/>
      <c r="H2" s="108"/>
    </row>
    <row r="3" spans="1:8" ht="13.5" customHeight="1">
      <c r="A3" s="78"/>
      <c r="B3" s="79"/>
      <c r="C3" s="78"/>
      <c r="D3" s="78"/>
      <c r="E3" s="78"/>
      <c r="F3" s="82"/>
      <c r="G3" s="108"/>
      <c r="H3" s="108"/>
    </row>
    <row r="4" spans="1:8" ht="15" customHeight="1">
      <c r="A4" s="84"/>
      <c r="B4" s="85"/>
      <c r="C4" s="86"/>
      <c r="D4" s="87"/>
      <c r="E4" s="87"/>
      <c r="F4" s="112"/>
      <c r="G4" s="108"/>
      <c r="H4" s="108"/>
    </row>
    <row r="5" spans="1:8" ht="18" customHeight="1">
      <c r="A5" s="84"/>
      <c r="B5" s="88" t="s">
        <v>0</v>
      </c>
      <c r="C5" s="89" t="s">
        <v>22</v>
      </c>
      <c r="D5" s="87"/>
      <c r="E5" s="87"/>
      <c r="F5" s="112"/>
      <c r="G5" s="108"/>
      <c r="H5" s="108"/>
    </row>
    <row r="6" spans="1:8" ht="18" customHeight="1">
      <c r="A6" s="84"/>
      <c r="B6" s="88" t="s">
        <v>1</v>
      </c>
      <c r="C6" s="89" t="s">
        <v>334</v>
      </c>
      <c r="D6" s="90"/>
      <c r="E6" s="91"/>
      <c r="F6" s="113"/>
      <c r="G6" s="108"/>
      <c r="H6" s="108"/>
    </row>
    <row r="7" spans="1:8" ht="18" customHeight="1">
      <c r="A7" s="84"/>
      <c r="B7" s="88"/>
      <c r="C7" s="89" t="s">
        <v>422</v>
      </c>
      <c r="D7" s="92"/>
      <c r="E7" s="87"/>
      <c r="F7" s="112"/>
      <c r="G7" s="108"/>
      <c r="H7" s="108"/>
    </row>
    <row r="8" spans="1:8" ht="18" customHeight="1">
      <c r="A8" s="84"/>
      <c r="B8" s="88"/>
      <c r="C8" s="89" t="s">
        <v>364</v>
      </c>
      <c r="D8" s="87"/>
      <c r="E8" s="87"/>
      <c r="F8" s="112"/>
      <c r="G8" s="108"/>
      <c r="H8" s="108"/>
    </row>
    <row r="9" spans="1:8" ht="18" customHeight="1">
      <c r="A9" s="84"/>
      <c r="B9" s="88" t="s">
        <v>5</v>
      </c>
      <c r="C9" s="93" t="s">
        <v>342</v>
      </c>
      <c r="D9" s="94"/>
      <c r="E9" s="91"/>
      <c r="F9" s="113"/>
      <c r="G9" s="108"/>
      <c r="H9" s="108"/>
    </row>
    <row r="10" spans="1:8" ht="59.25" customHeight="1">
      <c r="A10" s="84"/>
      <c r="B10" s="88" t="s">
        <v>23</v>
      </c>
      <c r="C10" s="95" t="s">
        <v>608</v>
      </c>
      <c r="D10" s="94"/>
      <c r="E10" s="91"/>
      <c r="F10" s="113"/>
      <c r="G10" s="108"/>
      <c r="H10" s="108"/>
    </row>
    <row r="11" spans="1:8" ht="33" customHeight="1">
      <c r="A11" s="84"/>
      <c r="B11" s="88" t="s">
        <v>20</v>
      </c>
      <c r="C11" s="96" t="s">
        <v>335</v>
      </c>
      <c r="D11" s="94"/>
      <c r="E11" s="91"/>
      <c r="F11" s="113"/>
      <c r="G11" s="108"/>
      <c r="H11" s="108"/>
    </row>
    <row r="12" spans="1:8" ht="18" customHeight="1">
      <c r="A12" s="84"/>
      <c r="B12" s="88" t="s">
        <v>6</v>
      </c>
      <c r="C12" s="93" t="s">
        <v>2</v>
      </c>
      <c r="D12" s="97"/>
      <c r="E12" s="91"/>
      <c r="F12" s="113"/>
      <c r="G12" s="108"/>
      <c r="H12" s="108"/>
    </row>
    <row r="13" spans="1:8" ht="33" customHeight="1">
      <c r="A13" s="84"/>
      <c r="B13" s="88" t="s">
        <v>18</v>
      </c>
      <c r="C13" s="98" t="s">
        <v>369</v>
      </c>
      <c r="D13" s="91"/>
      <c r="E13" s="91"/>
      <c r="F13" s="113"/>
      <c r="G13" s="108"/>
      <c r="H13" s="108"/>
    </row>
    <row r="14" spans="1:8" ht="21" customHeight="1">
      <c r="A14" s="84"/>
      <c r="B14" s="88" t="s">
        <v>14</v>
      </c>
      <c r="C14" s="98" t="s">
        <v>690</v>
      </c>
      <c r="D14" s="91"/>
      <c r="E14" s="91"/>
      <c r="F14" s="113"/>
      <c r="G14" s="108"/>
      <c r="H14" s="108"/>
    </row>
    <row r="15" spans="1:8" ht="194.25" customHeight="1">
      <c r="A15" s="84"/>
      <c r="B15" s="88"/>
      <c r="C15" s="99" t="s">
        <v>706</v>
      </c>
      <c r="D15" s="87"/>
      <c r="E15" s="87"/>
      <c r="F15" s="112"/>
      <c r="G15" s="108"/>
      <c r="H15" s="108"/>
    </row>
    <row r="16" spans="1:8" ht="45" customHeight="1">
      <c r="A16" s="85"/>
      <c r="B16" s="85"/>
      <c r="C16" s="100" t="s">
        <v>693</v>
      </c>
      <c r="D16" s="91"/>
      <c r="E16" s="91"/>
      <c r="F16" s="113"/>
      <c r="G16" s="108"/>
      <c r="H16" s="108"/>
    </row>
    <row r="17" spans="1:8" ht="13.5" customHeight="1">
      <c r="A17" s="80"/>
      <c r="B17" s="81"/>
      <c r="C17" s="80"/>
      <c r="D17" s="80"/>
      <c r="E17" s="80"/>
      <c r="F17" s="82"/>
      <c r="G17" s="108"/>
      <c r="H17" s="108"/>
    </row>
    <row r="18" spans="1:8" ht="15" customHeight="1">
      <c r="A18" s="84"/>
      <c r="B18" s="85"/>
      <c r="C18" s="85"/>
      <c r="D18" s="85"/>
      <c r="E18" s="91"/>
      <c r="F18" s="113"/>
      <c r="G18" s="108"/>
      <c r="H18" s="108"/>
    </row>
    <row r="19" spans="1:8" ht="19.2">
      <c r="A19" s="84"/>
      <c r="B19" s="101" t="s">
        <v>13</v>
      </c>
      <c r="C19" s="102"/>
      <c r="D19" s="85"/>
      <c r="E19" s="91"/>
      <c r="F19" s="113"/>
      <c r="G19" s="108"/>
      <c r="H19" s="108"/>
    </row>
    <row r="20" spans="1:8">
      <c r="A20" s="84"/>
      <c r="B20" s="71" t="s">
        <v>9</v>
      </c>
      <c r="C20" s="287"/>
      <c r="D20" s="103" t="s">
        <v>10</v>
      </c>
      <c r="E20" s="85"/>
      <c r="F20" s="82"/>
      <c r="G20" s="108"/>
      <c r="H20" s="108"/>
    </row>
    <row r="21" spans="1:8" ht="18" customHeight="1">
      <c r="A21" s="84"/>
      <c r="B21" s="72"/>
      <c r="C21" s="282"/>
      <c r="D21" s="103"/>
      <c r="E21" s="85"/>
      <c r="F21" s="82"/>
      <c r="G21" s="108"/>
      <c r="H21" s="108"/>
    </row>
    <row r="22" spans="1:8">
      <c r="A22" s="84"/>
      <c r="B22" s="71" t="s">
        <v>7</v>
      </c>
      <c r="C22" s="281" t="s">
        <v>739</v>
      </c>
      <c r="D22" s="103" t="s">
        <v>10</v>
      </c>
      <c r="E22" s="85"/>
      <c r="F22" s="82"/>
      <c r="G22" s="108"/>
      <c r="H22" s="108"/>
    </row>
    <row r="23" spans="1:8" ht="18" customHeight="1">
      <c r="A23" s="84"/>
      <c r="B23" s="72"/>
      <c r="C23" s="285"/>
      <c r="D23" s="103"/>
      <c r="E23" s="85"/>
      <c r="F23" s="82"/>
      <c r="G23" s="108"/>
      <c r="H23" s="108"/>
    </row>
    <row r="24" spans="1:8">
      <c r="A24" s="84"/>
      <c r="B24" s="71" t="s">
        <v>8</v>
      </c>
      <c r="C24" s="288" t="s">
        <v>736</v>
      </c>
      <c r="D24" s="103" t="s">
        <v>10</v>
      </c>
      <c r="E24" s="85"/>
      <c r="F24" s="82"/>
      <c r="G24" s="108"/>
      <c r="H24" s="108"/>
    </row>
    <row r="25" spans="1:8" ht="18" customHeight="1">
      <c r="A25" s="84"/>
      <c r="B25" s="72"/>
      <c r="C25" s="282"/>
      <c r="D25" s="103"/>
      <c r="E25" s="85"/>
      <c r="F25" s="82"/>
      <c r="G25" s="108"/>
      <c r="H25" s="108"/>
    </row>
    <row r="26" spans="1:8">
      <c r="A26" s="84"/>
      <c r="B26" s="73" t="s">
        <v>388</v>
      </c>
      <c r="C26" s="289" t="s">
        <v>740</v>
      </c>
      <c r="D26" s="103" t="s">
        <v>10</v>
      </c>
      <c r="E26" s="85"/>
      <c r="F26" s="82"/>
      <c r="G26" s="108"/>
      <c r="H26" s="108"/>
    </row>
    <row r="27" spans="1:8" ht="18" customHeight="1">
      <c r="A27" s="84"/>
      <c r="B27" s="72"/>
      <c r="C27" s="282"/>
      <c r="D27" s="103"/>
      <c r="E27" s="85"/>
      <c r="F27" s="82"/>
      <c r="G27" s="108"/>
      <c r="H27" s="108"/>
    </row>
    <row r="28" spans="1:8">
      <c r="A28" s="84"/>
      <c r="B28" s="74" t="s">
        <v>16</v>
      </c>
      <c r="C28" s="281"/>
      <c r="D28" s="283" t="s">
        <v>17</v>
      </c>
      <c r="E28" s="284"/>
      <c r="F28" s="82"/>
      <c r="G28" s="108"/>
      <c r="H28" s="108"/>
    </row>
    <row r="29" spans="1:8" ht="12.75" customHeight="1">
      <c r="A29" s="84"/>
      <c r="B29" s="75"/>
      <c r="C29" s="282"/>
      <c r="D29" s="284"/>
      <c r="E29" s="284"/>
      <c r="F29" s="82"/>
      <c r="G29" s="108"/>
      <c r="H29" s="108"/>
    </row>
    <row r="30" spans="1:8" ht="14.25" customHeight="1">
      <c r="A30" s="84"/>
      <c r="B30" s="74" t="s">
        <v>590</v>
      </c>
      <c r="C30" s="281" t="s">
        <v>737</v>
      </c>
      <c r="D30" s="283" t="s">
        <v>591</v>
      </c>
      <c r="E30" s="284"/>
      <c r="F30" s="82"/>
      <c r="G30" s="108"/>
      <c r="H30" s="108"/>
    </row>
    <row r="31" spans="1:8" ht="18" customHeight="1">
      <c r="A31" s="84"/>
      <c r="B31" s="76" t="s">
        <v>592</v>
      </c>
      <c r="C31" s="285"/>
      <c r="D31" s="284"/>
      <c r="E31" s="284"/>
      <c r="F31" s="82"/>
      <c r="G31" s="108"/>
      <c r="H31" s="108"/>
    </row>
    <row r="32" spans="1:8">
      <c r="A32" s="84"/>
      <c r="B32" s="71" t="s">
        <v>15</v>
      </c>
      <c r="C32" s="286"/>
      <c r="D32" s="91"/>
      <c r="E32" s="85"/>
      <c r="F32" s="82"/>
      <c r="G32" s="108"/>
      <c r="H32" s="108"/>
    </row>
    <row r="33" spans="1:8" ht="63" customHeight="1">
      <c r="A33" s="84"/>
      <c r="B33" s="77"/>
      <c r="C33" s="286"/>
      <c r="D33" s="91"/>
      <c r="E33" s="85"/>
      <c r="F33" s="82"/>
      <c r="G33" s="108"/>
      <c r="H33" s="108"/>
    </row>
    <row r="34" spans="1:8">
      <c r="A34" s="84"/>
      <c r="B34" s="104"/>
      <c r="C34" s="105" t="s">
        <v>697</v>
      </c>
      <c r="D34" s="85"/>
      <c r="E34" s="85"/>
      <c r="F34" s="82"/>
      <c r="G34" s="108"/>
      <c r="H34" s="108"/>
    </row>
    <row r="35" spans="1:8" ht="26.25" customHeight="1">
      <c r="A35" s="84"/>
      <c r="B35" s="104"/>
      <c r="C35" s="104"/>
      <c r="D35" s="85"/>
      <c r="E35" s="85"/>
      <c r="F35" s="82"/>
      <c r="G35" s="108"/>
      <c r="H35" s="108"/>
    </row>
    <row r="36" spans="1:8" ht="36" customHeight="1">
      <c r="A36" s="84"/>
      <c r="B36" s="277" t="s">
        <v>616</v>
      </c>
      <c r="C36" s="278"/>
      <c r="D36" s="85"/>
      <c r="E36" s="85"/>
      <c r="F36" s="82"/>
      <c r="G36" s="108"/>
      <c r="H36" s="108"/>
    </row>
    <row r="37" spans="1:8" ht="15" customHeight="1">
      <c r="A37" s="85"/>
      <c r="B37" s="85"/>
      <c r="C37" s="85"/>
      <c r="D37" s="85"/>
      <c r="E37" s="85"/>
      <c r="F37" s="82"/>
    </row>
    <row r="38" spans="1:8" ht="15" customHeight="1">
      <c r="A38" s="85"/>
      <c r="B38" s="85"/>
      <c r="C38" s="85"/>
      <c r="D38" s="85"/>
      <c r="E38" s="85"/>
      <c r="F38" s="82"/>
    </row>
    <row r="39" spans="1:8" ht="13.5" customHeight="1">
      <c r="A39" s="83"/>
      <c r="B39" s="79"/>
      <c r="C39" s="78"/>
      <c r="D39" s="78"/>
      <c r="E39" s="78"/>
      <c r="F39" s="82"/>
      <c r="G39" s="108"/>
      <c r="H39" s="108"/>
    </row>
    <row r="40" spans="1:8">
      <c r="A40" s="114" t="s">
        <v>735</v>
      </c>
      <c r="B40" s="115"/>
      <c r="C40" s="115"/>
      <c r="D40" s="115"/>
      <c r="E40" s="116" t="s">
        <v>11</v>
      </c>
    </row>
  </sheetData>
  <sheetProtection algorithmName="SHA-512" hashValue="Nko8HLkyjHIGaBLFE9V1uVSzxoJ6ZW2ZZsbIvlo4AwuAb3KV1wV48Xnw3obbVCOySTahFix662NW4SCpVnuZeQ==" saltValue="jXzSvpBsCM9SIUHF/O5CBA==" spinCount="100000" sheet="1" selectLockedCells="1"/>
  <mergeCells count="11">
    <mergeCell ref="B36:C36"/>
    <mergeCell ref="A1:B2"/>
    <mergeCell ref="C28:C29"/>
    <mergeCell ref="D28:E29"/>
    <mergeCell ref="C30:C31"/>
    <mergeCell ref="D30:E31"/>
    <mergeCell ref="C32:C33"/>
    <mergeCell ref="C20:C21"/>
    <mergeCell ref="C22:C23"/>
    <mergeCell ref="C24:C25"/>
    <mergeCell ref="C26:C27"/>
  </mergeCells>
  <hyperlinks>
    <hyperlink ref="C5" r:id="rId1" xr:uid="{00000000-0004-0000-0000-000000000000}"/>
    <hyperlink ref="C6" r:id="rId2" xr:uid="{00000000-0004-0000-0000-000001000000}"/>
    <hyperlink ref="C8" r:id="rId3" xr:uid="{00000000-0004-0000-0000-000002000000}"/>
    <hyperlink ref="C7" r:id="rId4" xr:uid="{00000000-0004-0000-0000-000003000000}"/>
    <hyperlink ref="B36:C36" location="'Variabelliste - velg tabeller'!A5" display="Gå til liste over tabeller før du velger variabler" xr:uid="{00000000-0004-0000-0000-000004000000}"/>
  </hyperlinks>
  <pageMargins left="0.7" right="0.7" top="0.75" bottom="0.75" header="0.3" footer="0.3"/>
  <pageSetup paperSize="8" scale="80" orientation="portrait" r:id="rId5"/>
  <drawing r:id="rId6"/>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2">
    <pageSetUpPr fitToPage="1"/>
  </sheetPr>
  <dimension ref="A1:J88"/>
  <sheetViews>
    <sheetView showGridLines="0" topLeftCell="A61" zoomScaleNormal="100" workbookViewId="0">
      <selection activeCell="C82" sqref="C82:H82"/>
    </sheetView>
  </sheetViews>
  <sheetFormatPr baseColWidth="10" defaultColWidth="11.44140625" defaultRowHeight="13.8"/>
  <cols>
    <col min="1" max="1" width="100.6640625" style="124" customWidth="1"/>
    <col min="2" max="2" width="2" style="109" customWidth="1"/>
    <col min="3" max="5" width="8.6640625" style="109" customWidth="1"/>
    <col min="6" max="6" width="13" style="109" bestFit="1" customWidth="1"/>
    <col min="7" max="7" width="4.88671875" style="109" bestFit="1" customWidth="1"/>
    <col min="8" max="8" width="18.33203125" style="109" customWidth="1"/>
    <col min="9" max="9" width="30" style="109" bestFit="1" customWidth="1"/>
    <col min="10" max="10" width="68.33203125" style="109" hidden="1" customWidth="1"/>
    <col min="11" max="16384" width="11.44140625" style="109"/>
  </cols>
  <sheetData>
    <row r="1" spans="1:10" ht="30" customHeight="1">
      <c r="A1" s="279"/>
      <c r="B1" s="82"/>
      <c r="C1" s="106" t="s">
        <v>559</v>
      </c>
      <c r="E1" s="107"/>
      <c r="F1" s="108"/>
      <c r="G1" s="82"/>
      <c r="H1" s="82"/>
    </row>
    <row r="2" spans="1:10" ht="30" customHeight="1">
      <c r="A2" s="280"/>
      <c r="B2" s="82"/>
      <c r="C2" s="110" t="str">
        <f>'Variabelliste - informasjon'!C2</f>
        <v>Utdanning</v>
      </c>
      <c r="E2" s="111"/>
      <c r="F2" s="108"/>
      <c r="G2" s="82"/>
      <c r="H2" s="82"/>
    </row>
    <row r="3" spans="1:10" ht="12" customHeight="1">
      <c r="A3" s="117"/>
      <c r="B3" s="78"/>
      <c r="C3" s="78"/>
      <c r="D3" s="78"/>
      <c r="E3" s="78"/>
      <c r="F3" s="78"/>
      <c r="G3" s="78"/>
      <c r="H3" s="78"/>
      <c r="I3" s="78"/>
      <c r="J3" s="46" t="s">
        <v>598</v>
      </c>
    </row>
    <row r="4" spans="1:10">
      <c r="A4" s="125"/>
      <c r="B4" s="126"/>
      <c r="C4" s="127"/>
      <c r="D4" s="126"/>
      <c r="E4" s="126"/>
      <c r="F4" s="126"/>
      <c r="G4" s="126"/>
      <c r="H4" s="126"/>
      <c r="I4" s="126"/>
      <c r="J4" s="22"/>
    </row>
    <row r="5" spans="1:10" ht="90" customHeight="1">
      <c r="A5" s="24" t="s">
        <v>695</v>
      </c>
      <c r="B5" s="126"/>
      <c r="C5" s="126"/>
      <c r="D5" s="126"/>
      <c r="E5" s="126"/>
      <c r="F5" s="126"/>
      <c r="G5" s="126"/>
      <c r="H5" s="126"/>
      <c r="I5" s="126"/>
      <c r="J5" s="38"/>
    </row>
    <row r="6" spans="1:10">
      <c r="A6" s="125"/>
      <c r="B6" s="126"/>
      <c r="C6" s="127"/>
      <c r="D6" s="126"/>
      <c r="E6" s="126"/>
      <c r="F6" s="126"/>
      <c r="G6" s="126"/>
      <c r="H6" s="126"/>
      <c r="I6" s="126"/>
      <c r="J6" s="38"/>
    </row>
    <row r="7" spans="1:10" ht="27" customHeight="1">
      <c r="A7" s="128"/>
      <c r="B7" s="290"/>
      <c r="C7" s="295" t="s">
        <v>12</v>
      </c>
      <c r="D7" s="297" t="s">
        <v>577</v>
      </c>
      <c r="E7" s="298"/>
      <c r="F7" s="293" t="s">
        <v>3</v>
      </c>
      <c r="G7" s="290"/>
      <c r="H7" s="290" t="s">
        <v>410</v>
      </c>
      <c r="I7" s="129"/>
      <c r="J7" s="38"/>
    </row>
    <row r="8" spans="1:10" ht="18" customHeight="1">
      <c r="A8" s="130" t="s">
        <v>595</v>
      </c>
      <c r="B8" s="292"/>
      <c r="C8" s="296"/>
      <c r="D8" s="47" t="s">
        <v>694</v>
      </c>
      <c r="E8" s="48" t="s">
        <v>601</v>
      </c>
      <c r="F8" s="294"/>
      <c r="G8" s="292"/>
      <c r="H8" s="291"/>
      <c r="I8" s="131" t="s">
        <v>411</v>
      </c>
      <c r="J8" s="22"/>
    </row>
    <row r="9" spans="1:10">
      <c r="A9" s="118"/>
      <c r="B9" s="80"/>
      <c r="C9" s="80"/>
      <c r="D9" s="80"/>
      <c r="E9" s="80"/>
      <c r="F9" s="80"/>
      <c r="G9" s="80"/>
      <c r="H9" s="80"/>
      <c r="I9" s="80"/>
      <c r="J9" s="38"/>
    </row>
    <row r="10" spans="1:10" ht="14.25" customHeight="1">
      <c r="A10" s="132"/>
      <c r="B10" s="133"/>
      <c r="C10" s="134"/>
      <c r="D10" s="132"/>
      <c r="E10" s="134"/>
      <c r="F10" s="133"/>
      <c r="G10" s="133"/>
      <c r="H10" s="135"/>
      <c r="I10" s="104"/>
      <c r="J10" s="38"/>
    </row>
    <row r="11" spans="1:10" ht="21" customHeight="1">
      <c r="A11" s="136" t="s">
        <v>617</v>
      </c>
      <c r="B11" s="133"/>
      <c r="C11" s="49" t="s">
        <v>738</v>
      </c>
      <c r="D11" s="50">
        <v>1970</v>
      </c>
      <c r="E11" s="50">
        <v>2019</v>
      </c>
      <c r="F11" s="137" t="s">
        <v>722</v>
      </c>
      <c r="G11" s="133"/>
      <c r="H11" s="299" t="s">
        <v>364</v>
      </c>
      <c r="I11" s="300"/>
      <c r="J11" s="38"/>
    </row>
    <row r="12" spans="1:10" ht="57" customHeight="1">
      <c r="A12" s="51" t="s">
        <v>604</v>
      </c>
      <c r="B12" s="133"/>
      <c r="C12" s="134"/>
      <c r="D12" s="132"/>
      <c r="E12" s="134"/>
      <c r="F12" s="133"/>
      <c r="G12" s="133"/>
      <c r="H12" s="135"/>
      <c r="I12" s="104"/>
      <c r="J12" s="38"/>
    </row>
    <row r="13" spans="1:10" ht="18" customHeight="1">
      <c r="A13" s="138" t="s">
        <v>409</v>
      </c>
      <c r="B13" s="139"/>
      <c r="C13" s="134"/>
      <c r="D13" s="140"/>
      <c r="E13" s="140"/>
      <c r="F13" s="139"/>
      <c r="G13" s="139"/>
      <c r="H13" s="141"/>
      <c r="I13" s="140"/>
      <c r="J13" s="38"/>
    </row>
    <row r="14" spans="1:10" ht="14.25" customHeight="1">
      <c r="A14" s="132"/>
      <c r="B14" s="133"/>
      <c r="C14" s="134"/>
      <c r="D14" s="132"/>
      <c r="E14" s="134"/>
      <c r="F14" s="133"/>
      <c r="G14" s="133"/>
      <c r="H14" s="135"/>
      <c r="I14" s="104"/>
      <c r="J14" s="38"/>
    </row>
    <row r="15" spans="1:10">
      <c r="A15" s="118"/>
      <c r="B15" s="80"/>
      <c r="C15" s="80"/>
      <c r="D15" s="80"/>
      <c r="E15" s="80"/>
      <c r="F15" s="80"/>
      <c r="G15" s="80"/>
      <c r="H15" s="80"/>
      <c r="I15" s="80"/>
      <c r="J15" s="38"/>
    </row>
    <row r="16" spans="1:10" ht="14.25" customHeight="1">
      <c r="A16" s="132"/>
      <c r="B16" s="133"/>
      <c r="C16" s="134"/>
      <c r="D16" s="132"/>
      <c r="E16" s="134"/>
      <c r="F16" s="133"/>
      <c r="G16" s="133"/>
      <c r="H16" s="135"/>
      <c r="I16" s="104"/>
      <c r="J16" s="38"/>
    </row>
    <row r="17" spans="1:10" ht="21" customHeight="1">
      <c r="A17" s="136" t="s">
        <v>423</v>
      </c>
      <c r="B17" s="142"/>
      <c r="C17" s="52" t="s">
        <v>738</v>
      </c>
      <c r="D17" s="50">
        <v>1970</v>
      </c>
      <c r="E17" s="50">
        <v>2019</v>
      </c>
      <c r="F17" s="143" t="s">
        <v>722</v>
      </c>
      <c r="G17" s="142"/>
      <c r="H17" s="144" t="s">
        <v>597</v>
      </c>
      <c r="I17" s="145" t="s">
        <v>321</v>
      </c>
      <c r="J17" s="23"/>
    </row>
    <row r="18" spans="1:10" ht="18" customHeight="1">
      <c r="A18" s="146" t="s">
        <v>409</v>
      </c>
      <c r="B18" s="140"/>
      <c r="C18" s="140"/>
      <c r="D18" s="140"/>
      <c r="E18" s="140"/>
      <c r="F18" s="140"/>
      <c r="G18" s="140"/>
      <c r="H18" s="140"/>
      <c r="I18" s="140"/>
      <c r="J18" s="38"/>
    </row>
    <row r="19" spans="1:10" ht="14.25" customHeight="1">
      <c r="A19" s="132"/>
      <c r="B19" s="133"/>
      <c r="C19" s="134"/>
      <c r="D19" s="132"/>
      <c r="E19" s="134"/>
      <c r="F19" s="133"/>
      <c r="G19" s="133"/>
      <c r="H19" s="135"/>
      <c r="I19" s="104"/>
      <c r="J19" s="38"/>
    </row>
    <row r="20" spans="1:10">
      <c r="A20" s="118"/>
      <c r="B20" s="80"/>
      <c r="C20" s="80"/>
      <c r="D20" s="80"/>
      <c r="E20" s="80"/>
      <c r="F20" s="80"/>
      <c r="G20" s="80"/>
      <c r="H20" s="80"/>
      <c r="I20" s="80"/>
      <c r="J20" s="38"/>
    </row>
    <row r="21" spans="1:10">
      <c r="A21" s="147"/>
      <c r="B21" s="140"/>
      <c r="C21" s="140"/>
      <c r="D21" s="140"/>
      <c r="E21" s="140"/>
      <c r="F21" s="140"/>
      <c r="G21" s="140"/>
      <c r="H21" s="140"/>
      <c r="I21" s="140"/>
      <c r="J21" s="38"/>
    </row>
    <row r="22" spans="1:10" ht="21" customHeight="1">
      <c r="A22" s="136" t="s">
        <v>421</v>
      </c>
      <c r="B22" s="140"/>
      <c r="C22" s="140"/>
      <c r="D22" s="140"/>
      <c r="E22" s="140"/>
      <c r="F22" s="140"/>
      <c r="G22" s="140"/>
      <c r="H22" s="140"/>
      <c r="I22" s="140"/>
      <c r="J22" s="23"/>
    </row>
    <row r="23" spans="1:10" ht="14.25" customHeight="1">
      <c r="A23" s="148"/>
      <c r="B23" s="140"/>
      <c r="C23" s="140"/>
      <c r="D23" s="140"/>
      <c r="E23" s="140"/>
      <c r="F23" s="140"/>
      <c r="G23" s="140"/>
      <c r="H23" s="140"/>
      <c r="I23" s="140"/>
      <c r="J23" s="38"/>
    </row>
    <row r="24" spans="1:10" ht="21" customHeight="1">
      <c r="A24" s="149" t="s">
        <v>643</v>
      </c>
      <c r="B24" s="140"/>
      <c r="C24" s="140"/>
      <c r="D24" s="140"/>
      <c r="E24" s="140"/>
      <c r="F24" s="140"/>
      <c r="G24" s="140"/>
      <c r="H24" s="140"/>
      <c r="I24" s="140"/>
      <c r="J24" s="38"/>
    </row>
    <row r="25" spans="1:10" ht="44.4" customHeight="1">
      <c r="A25" s="53" t="s">
        <v>644</v>
      </c>
      <c r="B25" s="140"/>
      <c r="C25" s="140"/>
      <c r="D25" s="140"/>
      <c r="E25" s="140"/>
      <c r="F25" s="140"/>
      <c r="G25" s="140"/>
      <c r="H25" s="140"/>
      <c r="I25" s="140"/>
      <c r="J25" s="23"/>
    </row>
    <row r="26" spans="1:10">
      <c r="A26" s="150"/>
      <c r="B26" s="140"/>
      <c r="C26" s="140"/>
      <c r="D26" s="140"/>
      <c r="E26" s="140"/>
      <c r="F26" s="140"/>
      <c r="G26" s="140"/>
      <c r="H26" s="140"/>
      <c r="I26" s="140"/>
      <c r="J26" s="38"/>
    </row>
    <row r="27" spans="1:10" s="119" customFormat="1" ht="18" customHeight="1">
      <c r="A27" s="151" t="s">
        <v>612</v>
      </c>
      <c r="B27" s="152"/>
      <c r="C27" s="54" t="s">
        <v>738</v>
      </c>
      <c r="D27" s="55">
        <v>1970</v>
      </c>
      <c r="E27" s="55">
        <v>2019</v>
      </c>
      <c r="F27" s="143" t="s">
        <v>722</v>
      </c>
      <c r="G27" s="152"/>
      <c r="H27" s="153" t="s">
        <v>597</v>
      </c>
      <c r="I27" s="145" t="s">
        <v>324</v>
      </c>
      <c r="J27" s="23"/>
    </row>
    <row r="28" spans="1:10" s="119" customFormat="1" ht="18" customHeight="1">
      <c r="A28" s="154" t="s">
        <v>645</v>
      </c>
      <c r="B28" s="140"/>
      <c r="C28" s="134"/>
      <c r="D28" s="140"/>
      <c r="E28" s="140"/>
      <c r="F28" s="140"/>
      <c r="G28" s="140"/>
      <c r="H28" s="155"/>
      <c r="I28" s="156"/>
      <c r="J28" s="23"/>
    </row>
    <row r="29" spans="1:10" s="119" customFormat="1">
      <c r="A29" s="157"/>
      <c r="B29" s="140"/>
      <c r="C29" s="134"/>
      <c r="D29" s="140"/>
      <c r="E29" s="140"/>
      <c r="F29" s="140"/>
      <c r="G29" s="140"/>
      <c r="H29" s="155"/>
      <c r="I29" s="156"/>
      <c r="J29" s="23"/>
    </row>
    <row r="30" spans="1:10" s="119" customFormat="1" ht="18" customHeight="1">
      <c r="A30" s="151" t="s">
        <v>613</v>
      </c>
      <c r="B30" s="152"/>
      <c r="C30" s="54" t="s">
        <v>738</v>
      </c>
      <c r="D30" s="50">
        <v>1970</v>
      </c>
      <c r="E30" s="56">
        <v>2019</v>
      </c>
      <c r="F30" s="152" t="s">
        <v>722</v>
      </c>
      <c r="G30" s="152"/>
      <c r="H30" s="153" t="s">
        <v>597</v>
      </c>
      <c r="I30" s="145" t="s">
        <v>324</v>
      </c>
      <c r="J30" s="23"/>
    </row>
    <row r="31" spans="1:10" s="119" customFormat="1" ht="33" customHeight="1">
      <c r="A31" s="57" t="s">
        <v>646</v>
      </c>
      <c r="B31" s="140"/>
      <c r="C31" s="134"/>
      <c r="D31" s="140"/>
      <c r="E31" s="140"/>
      <c r="F31" s="140"/>
      <c r="G31" s="140"/>
      <c r="H31" s="155"/>
      <c r="I31" s="156"/>
      <c r="J31" s="23"/>
    </row>
    <row r="32" spans="1:10" ht="18" customHeight="1">
      <c r="A32" s="158" t="s">
        <v>645</v>
      </c>
      <c r="B32" s="140"/>
      <c r="C32" s="140"/>
      <c r="D32" s="140"/>
      <c r="E32" s="140"/>
      <c r="F32" s="140"/>
      <c r="G32" s="140"/>
      <c r="H32" s="140"/>
      <c r="I32" s="140"/>
      <c r="J32" s="37"/>
    </row>
    <row r="33" spans="1:10">
      <c r="A33" s="147"/>
      <c r="B33" s="140"/>
      <c r="C33" s="140"/>
      <c r="D33" s="140"/>
      <c r="E33" s="140"/>
      <c r="F33" s="140"/>
      <c r="G33" s="140"/>
      <c r="H33" s="140"/>
      <c r="I33" s="140"/>
      <c r="J33" s="38"/>
    </row>
    <row r="34" spans="1:10" ht="21" customHeight="1">
      <c r="A34" s="149" t="s">
        <v>610</v>
      </c>
      <c r="B34" s="140"/>
      <c r="C34" s="140"/>
      <c r="D34" s="140"/>
      <c r="E34" s="140"/>
      <c r="F34" s="140"/>
      <c r="G34" s="140"/>
      <c r="H34" s="140"/>
      <c r="I34" s="140"/>
      <c r="J34" s="38"/>
    </row>
    <row r="35" spans="1:10" ht="21" customHeight="1">
      <c r="A35" s="58" t="s">
        <v>609</v>
      </c>
      <c r="B35" s="140"/>
      <c r="C35" s="140"/>
      <c r="D35" s="140"/>
      <c r="E35" s="140"/>
      <c r="F35" s="140"/>
      <c r="G35" s="140"/>
      <c r="H35" s="140"/>
      <c r="I35" s="140"/>
      <c r="J35" s="38"/>
    </row>
    <row r="36" spans="1:10">
      <c r="A36" s="150"/>
      <c r="B36" s="140"/>
      <c r="C36" s="140"/>
      <c r="D36" s="140"/>
      <c r="E36" s="140"/>
      <c r="F36" s="140"/>
      <c r="G36" s="140"/>
      <c r="H36" s="140"/>
      <c r="I36" s="140"/>
      <c r="J36" s="38"/>
    </row>
    <row r="37" spans="1:10" s="120" customFormat="1" ht="18" customHeight="1">
      <c r="A37" s="159" t="s">
        <v>426</v>
      </c>
      <c r="B37" s="142"/>
      <c r="C37" s="52" t="s">
        <v>738</v>
      </c>
      <c r="D37" s="50">
        <v>1970</v>
      </c>
      <c r="E37" s="56">
        <v>2019</v>
      </c>
      <c r="F37" s="152" t="s">
        <v>722</v>
      </c>
      <c r="G37" s="142"/>
      <c r="H37" s="153" t="s">
        <v>597</v>
      </c>
      <c r="I37" s="160" t="s">
        <v>324</v>
      </c>
      <c r="J37" s="59"/>
    </row>
    <row r="38" spans="1:10" ht="18" customHeight="1">
      <c r="A38" s="161" t="s">
        <v>409</v>
      </c>
      <c r="B38" s="140"/>
      <c r="C38" s="140"/>
      <c r="D38" s="140"/>
      <c r="E38" s="140"/>
      <c r="F38" s="140"/>
      <c r="G38" s="140"/>
      <c r="H38" s="140"/>
      <c r="I38" s="140"/>
      <c r="J38" s="38"/>
    </row>
    <row r="39" spans="1:10">
      <c r="A39" s="147"/>
      <c r="B39" s="140"/>
      <c r="C39" s="140"/>
      <c r="D39" s="140"/>
      <c r="E39" s="140"/>
      <c r="F39" s="140"/>
      <c r="G39" s="140"/>
      <c r="H39" s="140"/>
      <c r="I39" s="140"/>
      <c r="J39" s="38"/>
    </row>
    <row r="40" spans="1:10">
      <c r="A40" s="118"/>
      <c r="B40" s="80"/>
      <c r="C40" s="80"/>
      <c r="D40" s="80"/>
      <c r="E40" s="80"/>
      <c r="F40" s="80"/>
      <c r="G40" s="80"/>
      <c r="H40" s="80"/>
      <c r="I40" s="80"/>
      <c r="J40" s="38"/>
    </row>
    <row r="41" spans="1:10">
      <c r="A41" s="147"/>
      <c r="B41" s="140"/>
      <c r="C41" s="140"/>
      <c r="D41" s="140"/>
      <c r="E41" s="140"/>
      <c r="F41" s="140"/>
      <c r="G41" s="140"/>
      <c r="H41" s="140"/>
      <c r="I41" s="140"/>
      <c r="J41" s="38"/>
    </row>
    <row r="42" spans="1:10" s="114" customFormat="1" ht="21" customHeight="1">
      <c r="A42" s="136" t="s">
        <v>413</v>
      </c>
      <c r="B42" s="142"/>
      <c r="C42" s="52" t="s">
        <v>738</v>
      </c>
      <c r="D42" s="50">
        <v>1974</v>
      </c>
      <c r="E42" s="56">
        <v>2019</v>
      </c>
      <c r="F42" s="152" t="s">
        <v>719</v>
      </c>
      <c r="G42" s="142"/>
      <c r="H42" s="162" t="s">
        <v>597</v>
      </c>
      <c r="I42" s="145" t="s">
        <v>323</v>
      </c>
      <c r="J42" s="60" t="s">
        <v>596</v>
      </c>
    </row>
    <row r="43" spans="1:10" ht="18" customHeight="1">
      <c r="A43" s="161" t="s">
        <v>409</v>
      </c>
      <c r="B43" s="140"/>
      <c r="C43" s="140"/>
      <c r="D43" s="140"/>
      <c r="E43" s="140"/>
      <c r="F43" s="140"/>
      <c r="G43" s="140"/>
      <c r="H43" s="140"/>
      <c r="I43" s="140"/>
      <c r="J43" s="38"/>
    </row>
    <row r="44" spans="1:10">
      <c r="A44" s="147"/>
      <c r="B44" s="140"/>
      <c r="C44" s="140"/>
      <c r="D44" s="140"/>
      <c r="E44" s="140"/>
      <c r="F44" s="140"/>
      <c r="G44" s="140"/>
      <c r="H44" s="140"/>
      <c r="I44" s="140"/>
      <c r="J44" s="38"/>
    </row>
    <row r="45" spans="1:10">
      <c r="A45" s="118"/>
      <c r="B45" s="80"/>
      <c r="C45" s="80"/>
      <c r="D45" s="80"/>
      <c r="E45" s="80"/>
      <c r="F45" s="80"/>
      <c r="G45" s="80"/>
      <c r="H45" s="80"/>
      <c r="I45" s="80"/>
      <c r="J45" s="38"/>
    </row>
    <row r="46" spans="1:10">
      <c r="A46" s="147"/>
      <c r="B46" s="140"/>
      <c r="C46" s="140"/>
      <c r="D46" s="140"/>
      <c r="E46" s="140"/>
      <c r="F46" s="140"/>
      <c r="G46" s="140"/>
      <c r="H46" s="140"/>
      <c r="I46" s="140"/>
      <c r="J46" s="38"/>
    </row>
    <row r="47" spans="1:10" ht="21" customHeight="1">
      <c r="A47" s="136" t="s">
        <v>696</v>
      </c>
      <c r="B47" s="142"/>
      <c r="C47" s="52" t="s">
        <v>738</v>
      </c>
      <c r="D47" s="50">
        <v>1974</v>
      </c>
      <c r="E47" s="56">
        <v>2019</v>
      </c>
      <c r="F47" s="152" t="s">
        <v>731</v>
      </c>
      <c r="G47" s="142"/>
      <c r="H47" s="162" t="s">
        <v>597</v>
      </c>
      <c r="I47" s="145" t="s">
        <v>325</v>
      </c>
      <c r="J47" s="23"/>
    </row>
    <row r="48" spans="1:10" ht="18" customHeight="1">
      <c r="A48" s="146" t="s">
        <v>409</v>
      </c>
      <c r="B48" s="140"/>
      <c r="C48" s="140"/>
      <c r="D48" s="140"/>
      <c r="E48" s="140"/>
      <c r="F48" s="140"/>
      <c r="G48" s="140"/>
      <c r="H48" s="140"/>
      <c r="I48" s="140"/>
      <c r="J48" s="38"/>
    </row>
    <row r="49" spans="1:10">
      <c r="A49" s="147"/>
      <c r="B49" s="140"/>
      <c r="C49" s="140"/>
      <c r="D49" s="140"/>
      <c r="E49" s="140"/>
      <c r="F49" s="140"/>
      <c r="G49" s="140"/>
      <c r="H49" s="140"/>
      <c r="I49" s="140"/>
      <c r="J49" s="38"/>
    </row>
    <row r="50" spans="1:10">
      <c r="A50" s="118"/>
      <c r="B50" s="80"/>
      <c r="C50" s="80"/>
      <c r="D50" s="80"/>
      <c r="E50" s="80"/>
      <c r="F50" s="80"/>
      <c r="G50" s="80"/>
      <c r="H50" s="80"/>
      <c r="I50" s="80"/>
      <c r="J50" s="38"/>
    </row>
    <row r="51" spans="1:10">
      <c r="A51" s="147"/>
      <c r="B51" s="140"/>
      <c r="C51" s="140"/>
      <c r="D51" s="140"/>
      <c r="E51" s="140"/>
      <c r="F51" s="140"/>
      <c r="G51" s="140"/>
      <c r="H51" s="140"/>
      <c r="I51" s="140"/>
      <c r="J51" s="38"/>
    </row>
    <row r="52" spans="1:10" ht="21" customHeight="1">
      <c r="A52" s="136" t="s">
        <v>412</v>
      </c>
      <c r="B52" s="142"/>
      <c r="C52" s="52" t="s">
        <v>738</v>
      </c>
      <c r="D52" s="50">
        <v>1970</v>
      </c>
      <c r="E52" s="56">
        <v>2019</v>
      </c>
      <c r="F52" s="152" t="s">
        <v>722</v>
      </c>
      <c r="G52" s="142"/>
      <c r="H52" s="162" t="s">
        <v>597</v>
      </c>
      <c r="I52" s="145" t="s">
        <v>375</v>
      </c>
      <c r="J52" s="23"/>
    </row>
    <row r="53" spans="1:10" ht="18" customHeight="1">
      <c r="A53" s="161" t="s">
        <v>409</v>
      </c>
      <c r="B53" s="140"/>
      <c r="C53" s="140"/>
      <c r="D53" s="140"/>
      <c r="E53" s="140"/>
      <c r="F53" s="140"/>
      <c r="G53" s="140"/>
      <c r="H53" s="140"/>
      <c r="I53" s="140"/>
      <c r="J53" s="38"/>
    </row>
    <row r="54" spans="1:10">
      <c r="A54" s="147"/>
      <c r="B54" s="140"/>
      <c r="C54" s="140"/>
      <c r="D54" s="140"/>
      <c r="E54" s="140"/>
      <c r="F54" s="140"/>
      <c r="G54" s="140"/>
      <c r="H54" s="140"/>
      <c r="I54" s="140"/>
      <c r="J54" s="38"/>
    </row>
    <row r="55" spans="1:10">
      <c r="A55" s="118"/>
      <c r="B55" s="80"/>
      <c r="C55" s="80"/>
      <c r="D55" s="80"/>
      <c r="E55" s="80"/>
      <c r="F55" s="80"/>
      <c r="G55" s="80"/>
      <c r="H55" s="80"/>
      <c r="I55" s="80"/>
      <c r="J55" s="38"/>
    </row>
    <row r="56" spans="1:10">
      <c r="A56" s="147"/>
      <c r="B56" s="140"/>
      <c r="C56" s="140"/>
      <c r="D56" s="140"/>
      <c r="E56" s="140"/>
      <c r="F56" s="140"/>
      <c r="G56" s="140"/>
      <c r="H56" s="140"/>
      <c r="I56" s="140"/>
      <c r="J56" s="38"/>
    </row>
    <row r="57" spans="1:10" ht="21" customHeight="1">
      <c r="A57" s="163" t="s">
        <v>414</v>
      </c>
      <c r="B57" s="142"/>
      <c r="C57" s="52" t="s">
        <v>738</v>
      </c>
      <c r="D57" s="61">
        <v>2002</v>
      </c>
      <c r="E57" s="62">
        <v>2019</v>
      </c>
      <c r="F57" s="143" t="s">
        <v>716</v>
      </c>
      <c r="G57" s="142"/>
      <c r="H57" s="162" t="s">
        <v>597</v>
      </c>
      <c r="I57" s="145" t="s">
        <v>326</v>
      </c>
      <c r="J57" s="23"/>
    </row>
    <row r="58" spans="1:10" ht="18" customHeight="1">
      <c r="A58" s="164" t="s">
        <v>409</v>
      </c>
      <c r="B58" s="140"/>
      <c r="C58" s="140"/>
      <c r="D58" s="165"/>
      <c r="E58" s="140"/>
      <c r="F58" s="140"/>
      <c r="G58" s="140"/>
      <c r="H58" s="140"/>
      <c r="I58" s="140"/>
      <c r="J58" s="38"/>
    </row>
    <row r="59" spans="1:10">
      <c r="A59" s="147"/>
      <c r="B59" s="140"/>
      <c r="C59" s="140"/>
      <c r="D59" s="140"/>
      <c r="E59" s="140"/>
      <c r="F59" s="140"/>
      <c r="G59" s="140"/>
      <c r="H59" s="140"/>
      <c r="I59" s="140"/>
      <c r="J59" s="38"/>
    </row>
    <row r="60" spans="1:10">
      <c r="A60" s="118"/>
      <c r="B60" s="80"/>
      <c r="C60" s="80"/>
      <c r="D60" s="80"/>
      <c r="E60" s="80"/>
      <c r="F60" s="80"/>
      <c r="G60" s="80"/>
      <c r="H60" s="80"/>
      <c r="I60" s="80"/>
      <c r="J60" s="38"/>
    </row>
    <row r="61" spans="1:10">
      <c r="A61" s="147"/>
      <c r="B61" s="140"/>
      <c r="C61" s="140"/>
      <c r="D61" s="140"/>
      <c r="E61" s="140"/>
      <c r="F61" s="140"/>
      <c r="G61" s="140"/>
      <c r="H61" s="140"/>
      <c r="I61" s="140"/>
      <c r="J61" s="38"/>
    </row>
    <row r="62" spans="1:10" ht="21" customHeight="1">
      <c r="A62" s="163" t="s">
        <v>415</v>
      </c>
      <c r="B62" s="142"/>
      <c r="C62" s="52" t="s">
        <v>738</v>
      </c>
      <c r="D62" s="63">
        <v>2000</v>
      </c>
      <c r="E62" s="64">
        <v>2019</v>
      </c>
      <c r="F62" s="143" t="s">
        <v>714</v>
      </c>
      <c r="G62" s="142"/>
      <c r="H62" s="162" t="s">
        <v>597</v>
      </c>
      <c r="I62" s="145" t="s">
        <v>416</v>
      </c>
      <c r="J62" s="23"/>
    </row>
    <row r="63" spans="1:10" ht="18" customHeight="1">
      <c r="A63" s="161" t="s">
        <v>409</v>
      </c>
      <c r="B63" s="140"/>
      <c r="C63" s="140"/>
      <c r="D63" s="140"/>
      <c r="E63" s="140"/>
      <c r="F63" s="140"/>
      <c r="G63" s="140"/>
      <c r="H63" s="140"/>
      <c r="I63" s="140"/>
      <c r="J63" s="38"/>
    </row>
    <row r="64" spans="1:10">
      <c r="A64" s="147"/>
      <c r="B64" s="140"/>
      <c r="C64" s="140"/>
      <c r="D64" s="140"/>
      <c r="E64" s="140"/>
      <c r="F64" s="140"/>
      <c r="G64" s="140"/>
      <c r="H64" s="140"/>
      <c r="I64" s="140"/>
      <c r="J64" s="38"/>
    </row>
    <row r="65" spans="1:10">
      <c r="A65" s="118"/>
      <c r="B65" s="80"/>
      <c r="C65" s="80"/>
      <c r="D65" s="80"/>
      <c r="E65" s="80"/>
      <c r="F65" s="80"/>
      <c r="G65" s="80"/>
      <c r="H65" s="80"/>
      <c r="I65" s="80"/>
      <c r="J65" s="38"/>
    </row>
    <row r="66" spans="1:10">
      <c r="A66" s="147"/>
      <c r="B66" s="140"/>
      <c r="C66" s="140"/>
      <c r="D66" s="140"/>
      <c r="E66" s="140"/>
      <c r="F66" s="140"/>
      <c r="G66" s="140"/>
      <c r="H66" s="140"/>
      <c r="I66" s="140"/>
      <c r="J66" s="38"/>
    </row>
    <row r="67" spans="1:10" ht="21" customHeight="1">
      <c r="A67" s="163" t="s">
        <v>419</v>
      </c>
      <c r="B67" s="142"/>
      <c r="C67" s="52" t="s">
        <v>738</v>
      </c>
      <c r="D67" s="65">
        <v>2000</v>
      </c>
      <c r="E67" s="66">
        <v>2019</v>
      </c>
      <c r="F67" s="152" t="s">
        <v>714</v>
      </c>
      <c r="G67" s="142"/>
      <c r="H67" s="162" t="s">
        <v>597</v>
      </c>
      <c r="I67" s="145" t="s">
        <v>420</v>
      </c>
      <c r="J67" s="23"/>
    </row>
    <row r="68" spans="1:10" ht="18.75" customHeight="1">
      <c r="A68" s="164" t="s">
        <v>409</v>
      </c>
      <c r="B68" s="140"/>
      <c r="C68" s="140"/>
      <c r="D68" s="140"/>
      <c r="E68" s="140"/>
      <c r="F68" s="140"/>
      <c r="G68" s="140"/>
      <c r="H68" s="140"/>
      <c r="I68" s="140"/>
      <c r="J68" s="38"/>
    </row>
    <row r="69" spans="1:10">
      <c r="A69" s="147"/>
      <c r="B69" s="140"/>
      <c r="C69" s="140"/>
      <c r="D69" s="140"/>
      <c r="E69" s="140"/>
      <c r="F69" s="140"/>
      <c r="G69" s="140"/>
      <c r="H69" s="140"/>
      <c r="I69" s="140"/>
      <c r="J69" s="38"/>
    </row>
    <row r="70" spans="1:10">
      <c r="A70" s="118"/>
      <c r="B70" s="80"/>
      <c r="C70" s="80"/>
      <c r="D70" s="80"/>
      <c r="E70" s="80"/>
      <c r="F70" s="80"/>
      <c r="G70" s="80"/>
      <c r="H70" s="80"/>
      <c r="I70" s="80"/>
      <c r="J70" s="38"/>
    </row>
    <row r="71" spans="1:10">
      <c r="A71" s="147"/>
      <c r="B71" s="140"/>
      <c r="C71" s="140"/>
      <c r="D71" s="140"/>
      <c r="E71" s="140"/>
      <c r="F71" s="140"/>
      <c r="G71" s="140"/>
      <c r="H71" s="140"/>
      <c r="I71" s="140"/>
      <c r="J71" s="38"/>
    </row>
    <row r="72" spans="1:10" ht="21" customHeight="1">
      <c r="A72" s="163" t="s">
        <v>418</v>
      </c>
      <c r="B72" s="142"/>
      <c r="C72" s="52" t="s">
        <v>738</v>
      </c>
      <c r="D72" s="67">
        <v>2004</v>
      </c>
      <c r="E72" s="68">
        <v>2019</v>
      </c>
      <c r="F72" s="152" t="s">
        <v>711</v>
      </c>
      <c r="G72" s="142"/>
      <c r="H72" s="162" t="s">
        <v>597</v>
      </c>
      <c r="I72" s="145" t="s">
        <v>300</v>
      </c>
      <c r="J72" s="23"/>
    </row>
    <row r="73" spans="1:10" ht="20.25" customHeight="1">
      <c r="A73" s="164" t="s">
        <v>409</v>
      </c>
      <c r="B73" s="140"/>
      <c r="C73" s="140"/>
      <c r="D73" s="140"/>
      <c r="E73" s="140"/>
      <c r="F73" s="140"/>
      <c r="G73" s="140"/>
      <c r="H73" s="140"/>
      <c r="I73" s="140"/>
      <c r="J73" s="38"/>
    </row>
    <row r="74" spans="1:10">
      <c r="A74" s="147"/>
      <c r="B74" s="140"/>
      <c r="C74" s="140"/>
      <c r="D74" s="140"/>
      <c r="E74" s="140"/>
      <c r="F74" s="140"/>
      <c r="G74" s="140"/>
      <c r="H74" s="140"/>
      <c r="I74" s="140"/>
      <c r="J74" s="38"/>
    </row>
    <row r="75" spans="1:10">
      <c r="A75" s="118"/>
      <c r="B75" s="80"/>
      <c r="C75" s="80"/>
      <c r="D75" s="80"/>
      <c r="E75" s="80"/>
      <c r="F75" s="80"/>
      <c r="G75" s="80"/>
      <c r="H75" s="80"/>
      <c r="I75" s="80"/>
      <c r="J75" s="38"/>
    </row>
    <row r="76" spans="1:10">
      <c r="A76" s="147"/>
      <c r="B76" s="140"/>
      <c r="C76" s="140"/>
      <c r="D76" s="140"/>
      <c r="E76" s="140"/>
      <c r="F76" s="140"/>
      <c r="G76" s="140"/>
      <c r="H76" s="140"/>
      <c r="I76" s="140"/>
      <c r="J76" s="38"/>
    </row>
    <row r="77" spans="1:10" ht="21" customHeight="1">
      <c r="A77" s="163" t="s">
        <v>615</v>
      </c>
      <c r="B77" s="145"/>
      <c r="C77" s="69" t="s">
        <v>738</v>
      </c>
      <c r="D77" s="50">
        <v>2007</v>
      </c>
      <c r="E77" s="56">
        <v>2020</v>
      </c>
      <c r="F77" s="152" t="s">
        <v>732</v>
      </c>
      <c r="G77" s="145"/>
      <c r="H77" s="162" t="s">
        <v>597</v>
      </c>
      <c r="I77" s="145" t="s">
        <v>417</v>
      </c>
      <c r="J77" s="23"/>
    </row>
    <row r="78" spans="1:10">
      <c r="A78" s="146" t="s">
        <v>409</v>
      </c>
      <c r="B78" s="126"/>
      <c r="C78" s="126"/>
      <c r="D78" s="140"/>
      <c r="E78" s="140"/>
      <c r="F78" s="126"/>
      <c r="G78" s="126"/>
      <c r="H78" s="126"/>
      <c r="I78" s="126"/>
      <c r="J78" s="38"/>
    </row>
    <row r="79" spans="1:10">
      <c r="A79" s="147"/>
      <c r="B79" s="126"/>
      <c r="C79" s="126"/>
      <c r="D79" s="140"/>
      <c r="E79" s="140"/>
      <c r="F79" s="126"/>
      <c r="G79" s="126"/>
      <c r="H79" s="126"/>
      <c r="I79" s="126"/>
      <c r="J79" s="38"/>
    </row>
    <row r="80" spans="1:10">
      <c r="A80" s="118"/>
      <c r="B80" s="80"/>
      <c r="C80" s="80"/>
      <c r="D80" s="80"/>
      <c r="E80" s="80"/>
      <c r="F80" s="80"/>
      <c r="G80" s="80"/>
      <c r="H80" s="80"/>
      <c r="I80" s="80"/>
      <c r="J80" s="38"/>
    </row>
    <row r="81" spans="1:10" ht="26.25" customHeight="1">
      <c r="A81" s="84"/>
      <c r="B81" s="126"/>
      <c r="C81" s="104"/>
      <c r="D81" s="104"/>
      <c r="E81" s="85"/>
      <c r="F81" s="85"/>
      <c r="G81" s="126"/>
      <c r="H81" s="166"/>
      <c r="I81" s="166"/>
      <c r="J81" s="23"/>
    </row>
    <row r="82" spans="1:10" ht="36" customHeight="1">
      <c r="A82" s="84"/>
      <c r="B82" s="85"/>
      <c r="C82" s="278" t="s">
        <v>594</v>
      </c>
      <c r="D82" s="278"/>
      <c r="E82" s="278"/>
      <c r="F82" s="278"/>
      <c r="G82" s="278"/>
      <c r="H82" s="278"/>
      <c r="I82" s="166"/>
      <c r="J82" s="23"/>
    </row>
    <row r="83" spans="1:10" ht="15" customHeight="1">
      <c r="A83" s="85"/>
      <c r="B83" s="126"/>
      <c r="C83" s="85"/>
      <c r="D83" s="85"/>
      <c r="E83" s="85"/>
      <c r="F83" s="85"/>
      <c r="G83" s="126"/>
      <c r="H83" s="167"/>
      <c r="I83" s="167"/>
      <c r="J83" s="23"/>
    </row>
    <row r="84" spans="1:10" ht="36" customHeight="1">
      <c r="A84" s="84"/>
      <c r="B84" s="85"/>
      <c r="C84" s="278" t="s">
        <v>362</v>
      </c>
      <c r="D84" s="278"/>
      <c r="E84" s="278"/>
      <c r="F84" s="278"/>
      <c r="G84" s="278"/>
      <c r="H84" s="278"/>
      <c r="I84" s="166"/>
      <c r="J84" s="23"/>
    </row>
    <row r="85" spans="1:10">
      <c r="A85" s="147"/>
      <c r="B85" s="140"/>
      <c r="C85" s="140"/>
      <c r="D85" s="140"/>
      <c r="E85" s="140"/>
      <c r="F85" s="140"/>
      <c r="G85" s="140"/>
      <c r="H85" s="140"/>
      <c r="I85" s="140"/>
      <c r="J85" s="38"/>
    </row>
    <row r="86" spans="1:10" ht="14.25" customHeight="1">
      <c r="A86" s="117"/>
      <c r="B86" s="78"/>
      <c r="C86" s="79"/>
      <c r="D86" s="79"/>
      <c r="E86" s="79"/>
      <c r="F86" s="78"/>
      <c r="G86" s="78"/>
      <c r="H86" s="78"/>
      <c r="I86" s="78"/>
      <c r="J86" s="70"/>
    </row>
    <row r="87" spans="1:10">
      <c r="A87" s="114" t="str">
        <f>'Variabelliste - informasjon'!A40</f>
        <v>Sist oppdatert 8. januar 2021</v>
      </c>
      <c r="B87" s="115"/>
      <c r="C87" s="121"/>
      <c r="D87" s="121"/>
      <c r="E87" s="121"/>
      <c r="F87" s="121"/>
      <c r="G87" s="115"/>
      <c r="H87" s="122"/>
      <c r="I87" s="116" t="str">
        <f>'Variabelliste - informasjon'!E40</f>
        <v>Statistisk sentralbyrå</v>
      </c>
      <c r="J87" s="123"/>
    </row>
    <row r="88" spans="1:10">
      <c r="C88" s="121"/>
      <c r="D88" s="121"/>
      <c r="E88" s="121"/>
      <c r="F88" s="121"/>
      <c r="H88" s="108"/>
    </row>
  </sheetData>
  <sheetProtection algorithmName="SHA-512" hashValue="o4fASrWiAJbHsY5FqwMyEfIMMJ9X3wTACiWOlcMAJTUo4xw+Hx2azizaf3y3D+Rw0Yowv6m8OokWYgrme1SuyQ==" saltValue="wOSX31zpC3A3jOPPY0/Rpw==" spinCount="100000" sheet="1" selectLockedCells="1"/>
  <mergeCells count="10">
    <mergeCell ref="A1:A2"/>
    <mergeCell ref="C84:H84"/>
    <mergeCell ref="H7:H8"/>
    <mergeCell ref="G7:G8"/>
    <mergeCell ref="F7:F8"/>
    <mergeCell ref="C7:C8"/>
    <mergeCell ref="D7:E7"/>
    <mergeCell ref="H11:I11"/>
    <mergeCell ref="C82:H82"/>
    <mergeCell ref="B7:B8"/>
  </mergeCells>
  <conditionalFormatting sqref="I10 I13">
    <cfRule type="expression" dxfId="201" priority="802">
      <formula>#REF!=TRUE</formula>
    </cfRule>
  </conditionalFormatting>
  <conditionalFormatting sqref="D10">
    <cfRule type="expression" dxfId="200" priority="739">
      <formula>E10="x"</formula>
    </cfRule>
  </conditionalFormatting>
  <conditionalFormatting sqref="C10 C27:C30">
    <cfRule type="expression" dxfId="199" priority="280">
      <formula>C10="x"</formula>
    </cfRule>
  </conditionalFormatting>
  <conditionalFormatting sqref="C13">
    <cfRule type="expression" dxfId="198" priority="279">
      <formula>C13="x"</formula>
    </cfRule>
  </conditionalFormatting>
  <conditionalFormatting sqref="A13">
    <cfRule type="expression" dxfId="197" priority="274">
      <formula>#REF!="x"</formula>
    </cfRule>
  </conditionalFormatting>
  <conditionalFormatting sqref="A17 C11 C17">
    <cfRule type="expression" dxfId="196" priority="119">
      <formula>$C11="x"</formula>
    </cfRule>
  </conditionalFormatting>
  <conditionalFormatting sqref="A42 C42">
    <cfRule type="expression" dxfId="195" priority="113">
      <formula>$C42="x"</formula>
    </cfRule>
  </conditionalFormatting>
  <conditionalFormatting sqref="A47 C47">
    <cfRule type="expression" dxfId="194" priority="110">
      <formula>$C47="x"</formula>
    </cfRule>
  </conditionalFormatting>
  <conditionalFormatting sqref="A52 C52">
    <cfRule type="expression" dxfId="193" priority="107">
      <formula>$C52="x"</formula>
    </cfRule>
  </conditionalFormatting>
  <conditionalFormatting sqref="A57 C57">
    <cfRule type="expression" dxfId="192" priority="104">
      <formula>$C57="x"</formula>
    </cfRule>
  </conditionalFormatting>
  <conditionalFormatting sqref="A62 C62">
    <cfRule type="expression" dxfId="191" priority="101">
      <formula>IF($C62="x", TRUE, IF($C67="x", TRUE,FALSE))</formula>
    </cfRule>
  </conditionalFormatting>
  <conditionalFormatting sqref="A67 C67">
    <cfRule type="expression" dxfId="190" priority="98">
      <formula>$C67="x"</formula>
    </cfRule>
  </conditionalFormatting>
  <conditionalFormatting sqref="A72 C72">
    <cfRule type="expression" dxfId="189" priority="95">
      <formula>$C72="x"</formula>
    </cfRule>
  </conditionalFormatting>
  <conditionalFormatting sqref="A77 C77">
    <cfRule type="expression" dxfId="188" priority="92">
      <formula>$C77="x"</formula>
    </cfRule>
  </conditionalFormatting>
  <conditionalFormatting sqref="A37 C37">
    <cfRule type="expression" dxfId="187" priority="90">
      <formula>$C37="x"</formula>
    </cfRule>
  </conditionalFormatting>
  <conditionalFormatting sqref="G10:H11 G27 G30 H28:H29">
    <cfRule type="expression" priority="876" stopIfTrue="1">
      <formula>G10=""</formula>
    </cfRule>
    <cfRule type="expression" dxfId="186" priority="877" stopIfTrue="1">
      <formula>G10="SSB"</formula>
    </cfRule>
    <cfRule type="expression" dxfId="185" priority="878">
      <formula>C10="x"</formula>
    </cfRule>
  </conditionalFormatting>
  <conditionalFormatting sqref="D17:E17 D11:E11">
    <cfRule type="expression" dxfId="184" priority="55">
      <formula>C11="x"</formula>
    </cfRule>
  </conditionalFormatting>
  <conditionalFormatting sqref="D17:E17 D27:E27 D30:E30 D37:E37 D42:E42 D52:E52 D57:E57 D62:E62 D72:E72 D77:E77 D11:E11 D67:E67">
    <cfRule type="expression" dxfId="183" priority="53">
      <formula>$C11="x"</formula>
    </cfRule>
  </conditionalFormatting>
  <conditionalFormatting sqref="E10">
    <cfRule type="expression" dxfId="182" priority="51">
      <formula>E10="x"</formula>
    </cfRule>
  </conditionalFormatting>
  <conditionalFormatting sqref="I16">
    <cfRule type="expression" dxfId="181" priority="44">
      <formula>#REF!=TRUE</formula>
    </cfRule>
  </conditionalFormatting>
  <conditionalFormatting sqref="D16">
    <cfRule type="expression" dxfId="180" priority="43">
      <formula>E16="x"</formula>
    </cfRule>
  </conditionalFormatting>
  <conditionalFormatting sqref="C16">
    <cfRule type="expression" dxfId="179" priority="42">
      <formula>C16="x"</formula>
    </cfRule>
  </conditionalFormatting>
  <conditionalFormatting sqref="G16:H16">
    <cfRule type="expression" priority="45" stopIfTrue="1">
      <formula>G16=""</formula>
    </cfRule>
    <cfRule type="expression" dxfId="178" priority="46" stopIfTrue="1">
      <formula>G16="SSB"</formula>
    </cfRule>
    <cfRule type="expression" dxfId="177" priority="47">
      <formula>C16="x"</formula>
    </cfRule>
  </conditionalFormatting>
  <conditionalFormatting sqref="E16">
    <cfRule type="expression" dxfId="176" priority="41">
      <formula>E16="x"</formula>
    </cfRule>
  </conditionalFormatting>
  <conditionalFormatting sqref="I14">
    <cfRule type="expression" dxfId="175" priority="37">
      <formula>#REF!=TRUE</formula>
    </cfRule>
  </conditionalFormatting>
  <conditionalFormatting sqref="D14">
    <cfRule type="expression" dxfId="174" priority="36">
      <formula>E14="x"</formula>
    </cfRule>
  </conditionalFormatting>
  <conditionalFormatting sqref="C14">
    <cfRule type="expression" dxfId="173" priority="35">
      <formula>C14="x"</formula>
    </cfRule>
  </conditionalFormatting>
  <conditionalFormatting sqref="G14:H14">
    <cfRule type="expression" priority="38" stopIfTrue="1">
      <formula>G14=""</formula>
    </cfRule>
    <cfRule type="expression" dxfId="172" priority="39" stopIfTrue="1">
      <formula>G14="SSB"</formula>
    </cfRule>
    <cfRule type="expression" dxfId="171" priority="40">
      <formula>C14="x"</formula>
    </cfRule>
  </conditionalFormatting>
  <conditionalFormatting sqref="E14">
    <cfRule type="expression" dxfId="170" priority="34">
      <formula>E14="x"</formula>
    </cfRule>
  </conditionalFormatting>
  <conditionalFormatting sqref="H11">
    <cfRule type="expression" priority="904" stopIfTrue="1">
      <formula>H11=""</formula>
    </cfRule>
    <cfRule type="expression" dxfId="169" priority="905" stopIfTrue="1">
      <formula>H11="SSB"</formula>
    </cfRule>
    <cfRule type="expression" dxfId="168" priority="906">
      <formula>D12="x"</formula>
    </cfRule>
  </conditionalFormatting>
  <conditionalFormatting sqref="I19">
    <cfRule type="expression" dxfId="167" priority="30">
      <formula>#REF!=TRUE</formula>
    </cfRule>
  </conditionalFormatting>
  <conditionalFormatting sqref="D19">
    <cfRule type="expression" dxfId="166" priority="29">
      <formula>E19="x"</formula>
    </cfRule>
  </conditionalFormatting>
  <conditionalFormatting sqref="C19">
    <cfRule type="expression" dxfId="165" priority="28">
      <formula>C19="x"</formula>
    </cfRule>
  </conditionalFormatting>
  <conditionalFormatting sqref="G19:H19">
    <cfRule type="expression" priority="31" stopIfTrue="1">
      <formula>G19=""</formula>
    </cfRule>
    <cfRule type="expression" dxfId="164" priority="32" stopIfTrue="1">
      <formula>G19="SSB"</formula>
    </cfRule>
    <cfRule type="expression" dxfId="163" priority="33">
      <formula>C19="x"</formula>
    </cfRule>
  </conditionalFormatting>
  <conditionalFormatting sqref="E19">
    <cfRule type="expression" dxfId="162" priority="27">
      <formula>E19="x"</formula>
    </cfRule>
  </conditionalFormatting>
  <conditionalFormatting sqref="I12">
    <cfRule type="expression" dxfId="161" priority="23">
      <formula>#REF!=TRUE</formula>
    </cfRule>
  </conditionalFormatting>
  <conditionalFormatting sqref="D12">
    <cfRule type="expression" dxfId="160" priority="22">
      <formula>E12="x"</formula>
    </cfRule>
  </conditionalFormatting>
  <conditionalFormatting sqref="C12">
    <cfRule type="expression" dxfId="159" priority="21">
      <formula>C12="x"</formula>
    </cfRule>
  </conditionalFormatting>
  <conditionalFormatting sqref="G12:H12">
    <cfRule type="expression" priority="24" stopIfTrue="1">
      <formula>G12=""</formula>
    </cfRule>
    <cfRule type="expression" dxfId="158" priority="25" stopIfTrue="1">
      <formula>G12="SSB"</formula>
    </cfRule>
    <cfRule type="expression" dxfId="157" priority="26">
      <formula>C12="x"</formula>
    </cfRule>
  </conditionalFormatting>
  <conditionalFormatting sqref="E12">
    <cfRule type="expression" dxfId="156" priority="20">
      <formula>E12="x"</formula>
    </cfRule>
  </conditionalFormatting>
  <conditionalFormatting sqref="C31">
    <cfRule type="expression" dxfId="155" priority="16">
      <formula>C31="x"</formula>
    </cfRule>
  </conditionalFormatting>
  <conditionalFormatting sqref="H31">
    <cfRule type="expression" priority="17" stopIfTrue="1">
      <formula>H31=""</formula>
    </cfRule>
    <cfRule type="expression" dxfId="154" priority="18" stopIfTrue="1">
      <formula>H31="SSB"</formula>
    </cfRule>
    <cfRule type="expression" dxfId="153" priority="19">
      <formula>D31="x"</formula>
    </cfRule>
  </conditionalFormatting>
  <conditionalFormatting sqref="A10:A12 A27:A31 A16 A14 A19">
    <cfRule type="expression" dxfId="152" priority="1015">
      <formula>C10="x"</formula>
    </cfRule>
  </conditionalFormatting>
  <conditionalFormatting sqref="B10:B11 B27 B30">
    <cfRule type="expression" priority="13" stopIfTrue="1">
      <formula>B10=""</formula>
    </cfRule>
    <cfRule type="expression" dxfId="151" priority="14" stopIfTrue="1">
      <formula>B10="SSB"</formula>
    </cfRule>
    <cfRule type="expression" dxfId="150" priority="15">
      <formula>XFB10="x"</formula>
    </cfRule>
  </conditionalFormatting>
  <conditionalFormatting sqref="B16">
    <cfRule type="expression" priority="10" stopIfTrue="1">
      <formula>B16=""</formula>
    </cfRule>
    <cfRule type="expression" dxfId="149" priority="11" stopIfTrue="1">
      <formula>B16="SSB"</formula>
    </cfRule>
    <cfRule type="expression" dxfId="148" priority="12">
      <formula>XFB16="x"</formula>
    </cfRule>
  </conditionalFormatting>
  <conditionalFormatting sqref="B14">
    <cfRule type="expression" priority="7" stopIfTrue="1">
      <formula>B14=""</formula>
    </cfRule>
    <cfRule type="expression" dxfId="147" priority="8" stopIfTrue="1">
      <formula>B14="SSB"</formula>
    </cfRule>
    <cfRule type="expression" dxfId="146" priority="9">
      <formula>XFB14="x"</formula>
    </cfRule>
  </conditionalFormatting>
  <conditionalFormatting sqref="B19">
    <cfRule type="expression" priority="4" stopIfTrue="1">
      <formula>B19=""</formula>
    </cfRule>
    <cfRule type="expression" dxfId="145" priority="5" stopIfTrue="1">
      <formula>B19="SSB"</formula>
    </cfRule>
    <cfRule type="expression" dxfId="144" priority="6">
      <formula>XFB19="x"</formula>
    </cfRule>
  </conditionalFormatting>
  <conditionalFormatting sqref="B12">
    <cfRule type="expression" priority="1" stopIfTrue="1">
      <formula>B12=""</formula>
    </cfRule>
    <cfRule type="expression" dxfId="143" priority="2" stopIfTrue="1">
      <formula>B12="SSB"</formula>
    </cfRule>
    <cfRule type="expression" dxfId="142" priority="3">
      <formula>XFB12="x"</formula>
    </cfRule>
  </conditionalFormatting>
  <dataValidations count="3">
    <dataValidation type="list" allowBlank="1" showDropDown="1" showInputMessage="1" showErrorMessage="1" errorTitle="Skriv x i cellen for å bestille." sqref="C42 C47 C52 C57 C10:C14 C67 C72 C77 C19 C37 C16:C17 C27:C31" xr:uid="{00000000-0002-0000-0100-000000000000}">
      <formula1>"x, X"</formula1>
    </dataValidation>
    <dataValidation type="whole" operator="greaterThanOrEqual" allowBlank="1" showInputMessage="1" showErrorMessage="1" sqref="D21:E22 D61:E61 D18:E18 D29:E30 D37:E39 D32:E35 D85:E86 D41:E44 D51:E52 D56:E56 D59:E59 D63:E64 D66:E69 D71:E74 D83:E83 D46:E49 D54:E54 D76:E79 D81:E81" xr:uid="{00000000-0002-0000-0100-000001000000}">
      <formula1>1970</formula1>
    </dataValidation>
    <dataValidation type="list" allowBlank="1" showDropDown="1" showInputMessage="1" showErrorMessage="1" errorTitle="Skriv x i cellen for å bestille." sqref="C62" xr:uid="{00000000-0002-0000-0100-000002000000}">
      <formula1>"x,X"</formula1>
    </dataValidation>
  </dataValidations>
  <hyperlinks>
    <hyperlink ref="A32" location="'Variabelliste - velg variabler'!A46" display="Se variabler som inngår &gt;" xr:uid="{00000000-0004-0000-0100-000000000000}"/>
    <hyperlink ref="A18" location="'Variabelliste - velg variabler'!A24" display="Velg variabler &gt;" xr:uid="{00000000-0004-0000-0100-000001000000}"/>
    <hyperlink ref="A13" location="'Variabelliste - velg variabler'!A12" tooltip="Gå hit for å velge variabler med årlig situasjonsopplysning." display="Velg variabler &gt;" xr:uid="{00000000-0004-0000-0100-000002000000}"/>
    <hyperlink ref="A53" location="'Variabelliste - velg variabler'!A234" display="Velg variabler &gt;" xr:uid="{00000000-0004-0000-0100-000003000000}"/>
    <hyperlink ref="A48" location="'Variabelliste - velg variabler'!A186" display="Velg variabler &gt;" xr:uid="{00000000-0004-0000-0100-000004000000}"/>
    <hyperlink ref="A38" location="'Variabelliste - velg variabler'!A47" display="Velg variabler &gt;" xr:uid="{00000000-0004-0000-0100-000005000000}"/>
    <hyperlink ref="A58" location="'Variabelliste - velg variabler'!A248" display="Velg variabler &gt;" xr:uid="{00000000-0004-0000-0100-000006000000}"/>
    <hyperlink ref="A63" location="'Variabelliste - velg variabler'!A262" display="Velg variabler &gt;" xr:uid="{00000000-0004-0000-0100-000007000000}"/>
    <hyperlink ref="A68" location="'Variabelliste - velg variabler'!A317" display="Velg variabler &gt;" xr:uid="{00000000-0004-0000-0100-000008000000}"/>
    <hyperlink ref="A73" location="'Variabelliste - velg variabler'!A331" display="Velg variabler &gt;" xr:uid="{00000000-0004-0000-0100-000009000000}"/>
    <hyperlink ref="A78" location="'Variabelliste - velg variabler'!A347" display="Velg variabler &gt;" xr:uid="{00000000-0004-0000-0100-00000A000000}"/>
    <hyperlink ref="A28" location="'Variabelliste - velg variabler'!A45" display="Se variabler som inngår &gt;" xr:uid="{00000000-0004-0000-0100-00000B000000}"/>
    <hyperlink ref="H11" r:id="rId1" xr:uid="{00000000-0004-0000-0100-00000C000000}"/>
    <hyperlink ref="H17" r:id="rId2" location="tabell_F_UTD_DEMOGRAFI" xr:uid="{00000000-0004-0000-0100-00000D000000}"/>
    <hyperlink ref="H27" r:id="rId3" location="tabell_F_UTD_KURS" xr:uid="{00000000-0004-0000-0100-00000E000000}"/>
    <hyperlink ref="H30" r:id="rId4" location="tabell_F_UTD_KURS" xr:uid="{00000000-0004-0000-0100-00000F000000}"/>
    <hyperlink ref="H42" r:id="rId5" location="tabell_F_UTD_PERSON" xr:uid="{00000000-0004-0000-0100-000010000000}"/>
    <hyperlink ref="H47" r:id="rId6" location="tabell_TAB_UTD_PERSON" xr:uid="{00000000-0004-0000-0100-000011000000}"/>
    <hyperlink ref="H52" r:id="rId7" location="tabell_TAB_UTVEKSL_STUD" xr:uid="{00000000-0004-0000-0100-000012000000}"/>
    <hyperlink ref="H57" r:id="rId8" location="tabell_TAB_KARAKTER_GRUNNSKOLE" xr:uid="{00000000-0004-0000-0100-000013000000}"/>
    <hyperlink ref="H62" r:id="rId9" location="tabell_TAB_VITNEMAL_VGSKOLE" xr:uid="{00000000-0004-0000-0100-000014000000}"/>
    <hyperlink ref="H67" r:id="rId10" location="tabell_TAB_VITNEMALFAG_VGSKOLE" xr:uid="{00000000-0004-0000-0100-000015000000}"/>
    <hyperlink ref="H72" r:id="rId11" location="tabell_TAB_KARAKTER_VGSKOLE" xr:uid="{00000000-0004-0000-0100-000016000000}"/>
    <hyperlink ref="H77" r:id="rId12" location="tabell_TAB_NASJONALE_PROVER" xr:uid="{00000000-0004-0000-0100-000017000000}"/>
    <hyperlink ref="C82:F82" location="'Variabelliste - velg Tabeller'!A5" display="Gå til variabelliste og velg variabler" xr:uid="{00000000-0004-0000-0100-000018000000}"/>
    <hyperlink ref="C82:H82" location="'Variabelliste - velg variabler'!A5" display="Gå til variabelliste og velg variabler" xr:uid="{00000000-0004-0000-0100-000019000000}"/>
    <hyperlink ref="C84:F84" location="'Variabelliste - velg Tabeller'!A5" display="Gå til variabelliste og velg variabler" xr:uid="{00000000-0004-0000-0100-00001A000000}"/>
    <hyperlink ref="C84:H84" location="'Variabelliste - informasjon'!C19" display="Gå tilbake til informasjonssiden" xr:uid="{00000000-0004-0000-0100-00001B000000}"/>
    <hyperlink ref="A43" location="'Variabelliste - velg variabler'!A149" display="Velg variabler &gt;" xr:uid="{00000000-0004-0000-0100-00001C000000}"/>
    <hyperlink ref="B82" location="'Variabelliste - velg variabler'!A5" display="Gå til variabelliste og velg variabler" xr:uid="{00000000-0004-0000-0100-00001D000000}"/>
    <hyperlink ref="B84" location="'Variabelliste - informasjon'!C19" display="Gå tilbake til informasjonssiden" xr:uid="{00000000-0004-0000-0100-00001E000000}"/>
    <hyperlink ref="H11:I11" r:id="rId13" display="Norsk standard for utdanningsgruppering" xr:uid="{00000000-0004-0000-0100-00001F000000}"/>
    <hyperlink ref="H37" r:id="rId14" location="tabell_F_UTD_KURS" xr:uid="{00000000-0004-0000-0100-000020000000}"/>
  </hyperlinks>
  <pageMargins left="0.7" right="0.7" top="0.75" bottom="0.75" header="0.3" footer="0.3"/>
  <pageSetup paperSize="9" scale="50" fitToHeight="0" orientation="landscape" r:id="rId15"/>
  <drawing r:id="rId16"/>
  <legacyDrawing r:id="rId17"/>
  <extLst>
    <ext xmlns:x14="http://schemas.microsoft.com/office/spreadsheetml/2009/9/main" uri="{78C0D931-6437-407d-A8EE-F0AAD7539E65}">
      <x14:conditionalFormattings>
        <x14:conditionalFormatting xmlns:xm="http://schemas.microsoft.com/office/excel/2006/main">
          <x14:cfRule type="expression" priority="54" id="{7F6546B9-5291-45AB-B4A5-475636C64067}">
            <xm:f>'Variabelliste - velg variabler'!$C48="x"</xm:f>
            <x14:dxf>
              <fill>
                <patternFill>
                  <bgColor theme="0"/>
                </patternFill>
              </fill>
              <border>
                <left style="thin">
                  <color auto="1"/>
                </left>
                <right style="thin">
                  <color auto="1"/>
                </right>
                <top style="thin">
                  <color auto="1"/>
                </top>
                <bottom style="thin">
                  <color auto="1"/>
                </bottom>
              </border>
            </x14:dxf>
          </x14:cfRule>
          <xm:sqref>D72:E72</xm:sqref>
        </x14:conditionalFormatting>
        <x14:conditionalFormatting xmlns:xm="http://schemas.microsoft.com/office/excel/2006/main">
          <x14:cfRule type="expression" priority="910" id="{8C11EE38-7F8D-4FB6-BE1B-5558A6DDFD27}">
            <xm:f>'Variabelliste - velg variabler'!B21="x"</xm:f>
            <x14:dxf>
              <fill>
                <patternFill>
                  <bgColor theme="0"/>
                </patternFill>
              </fill>
              <border>
                <left style="thin">
                  <color auto="1"/>
                </left>
                <right style="thin">
                  <color auto="1"/>
                </right>
                <top style="thin">
                  <color auto="1"/>
                </top>
                <bottom style="thin">
                  <color auto="1"/>
                </bottom>
                <vertical/>
                <horizontal/>
              </border>
            </x14:dxf>
          </x14:cfRule>
          <xm:sqref>E27</xm:sqref>
        </x14:conditionalFormatting>
        <x14:conditionalFormatting xmlns:xm="http://schemas.microsoft.com/office/excel/2006/main">
          <x14:cfRule type="expression" priority="913" id="{8B3DF606-9B16-4D50-A1CA-69FF8F68A087}">
            <xm:f>'Variabelliste - velg variabler'!B21="x"</xm:f>
            <x14:dxf>
              <fill>
                <patternFill>
                  <bgColor theme="0"/>
                </patternFill>
              </fill>
              <border>
                <left style="thin">
                  <color auto="1"/>
                </left>
                <right style="thin">
                  <color auto="1"/>
                </right>
                <top style="thin">
                  <color auto="1"/>
                </top>
                <bottom style="thin">
                  <color auto="1"/>
                </bottom>
              </border>
            </x14:dxf>
          </x14:cfRule>
          <xm:sqref>D27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pageSetUpPr fitToPage="1"/>
  </sheetPr>
  <dimension ref="A1:L405"/>
  <sheetViews>
    <sheetView showGridLines="0" topLeftCell="A26" zoomScaleNormal="100" zoomScaleSheetLayoutView="100" workbookViewId="0">
      <selection activeCell="D19" sqref="D19"/>
    </sheetView>
  </sheetViews>
  <sheetFormatPr baseColWidth="10" defaultColWidth="11.44140625" defaultRowHeight="13.8"/>
  <cols>
    <col min="1" max="1" width="126.5546875" style="124" customWidth="1"/>
    <col min="2" max="2" width="9.88671875" style="177" customWidth="1"/>
    <col min="3" max="3" width="10.6640625" style="177" customWidth="1"/>
    <col min="4" max="4" width="10.44140625" style="109" customWidth="1"/>
    <col min="5" max="5" width="13.6640625" style="109" bestFit="1" customWidth="1"/>
    <col min="6" max="6" width="13.6640625" style="109" customWidth="1"/>
    <col min="7" max="7" width="16.109375" style="109" bestFit="1" customWidth="1"/>
    <col min="8" max="8" width="30.109375" style="109" bestFit="1" customWidth="1"/>
    <col min="9" max="9" width="10.33203125" style="109" hidden="1" customWidth="1"/>
    <col min="10" max="10" width="89" style="109" hidden="1" customWidth="1"/>
    <col min="11" max="11" width="35.5546875" style="109" hidden="1" customWidth="1"/>
    <col min="12" max="12" width="19" style="109" hidden="1" customWidth="1"/>
    <col min="13" max="16384" width="11.44140625" style="109"/>
  </cols>
  <sheetData>
    <row r="1" spans="1:12" ht="30" customHeight="1">
      <c r="A1" s="311"/>
      <c r="B1" s="168" t="s">
        <v>361</v>
      </c>
      <c r="C1" s="169"/>
      <c r="E1" s="108"/>
      <c r="F1" s="108"/>
      <c r="G1" s="82"/>
      <c r="I1" s="82"/>
    </row>
    <row r="2" spans="1:12" ht="30" customHeight="1">
      <c r="A2" s="312"/>
      <c r="B2" s="170" t="str">
        <f>'Variabelliste - informasjon'!C2</f>
        <v>Utdanning</v>
      </c>
      <c r="C2" s="171"/>
      <c r="E2" s="172"/>
      <c r="F2" s="173">
        <f>IF(OR(D14="x",D33="x",D59="x",C59="x",B59="x",D71="x",C71="x",B71="x",D133="x",C133="x",B133="x",D187="x",D188="x",D189="x",D190="x",D191="x",D192="x",D198="x",D199="x",D200="x",D201="x",D202="x",),5,"0")</f>
        <v>5</v>
      </c>
      <c r="G2" s="174"/>
      <c r="H2" s="175">
        <f>F2</f>
        <v>5</v>
      </c>
      <c r="I2" s="82"/>
    </row>
    <row r="3" spans="1:12">
      <c r="A3" s="259"/>
      <c r="B3" s="260"/>
      <c r="C3" s="260"/>
      <c r="D3" s="260"/>
      <c r="E3" s="260"/>
      <c r="F3" s="260"/>
      <c r="G3" s="260"/>
      <c r="H3" s="260"/>
      <c r="I3" s="262" t="s">
        <v>600</v>
      </c>
      <c r="J3" s="262" t="s">
        <v>598</v>
      </c>
      <c r="K3" s="261"/>
      <c r="L3" s="261"/>
    </row>
    <row r="4" spans="1:12">
      <c r="A4" s="125"/>
      <c r="B4" s="127"/>
      <c r="C4" s="126"/>
      <c r="D4" s="126"/>
      <c r="E4" s="126"/>
      <c r="F4" s="126"/>
      <c r="G4" s="126"/>
      <c r="H4" s="187"/>
      <c r="I4" s="22"/>
      <c r="J4" s="22"/>
      <c r="K4" s="23"/>
      <c r="L4" s="23"/>
    </row>
    <row r="5" spans="1:12" ht="78" customHeight="1">
      <c r="A5" s="24" t="s">
        <v>619</v>
      </c>
      <c r="B5" s="127"/>
      <c r="C5" s="126"/>
      <c r="D5" s="126"/>
      <c r="E5" s="126"/>
      <c r="F5" s="126"/>
      <c r="G5" s="126"/>
      <c r="H5" s="187"/>
      <c r="I5" s="25"/>
      <c r="J5" s="301" t="s">
        <v>614</v>
      </c>
      <c r="K5" s="23"/>
      <c r="L5" s="23"/>
    </row>
    <row r="6" spans="1:12" ht="14.25" customHeight="1">
      <c r="A6" s="125"/>
      <c r="B6" s="127"/>
      <c r="C6" s="126"/>
      <c r="D6" s="126"/>
      <c r="E6" s="126"/>
      <c r="F6" s="263"/>
      <c r="G6" s="126"/>
      <c r="H6" s="187"/>
      <c r="I6" s="22"/>
      <c r="J6" s="301"/>
      <c r="K6" s="23"/>
      <c r="L6" s="23"/>
    </row>
    <row r="7" spans="1:12" ht="51" customHeight="1">
      <c r="A7" s="187" t="s">
        <v>19</v>
      </c>
      <c r="B7" s="127"/>
      <c r="C7" s="127"/>
      <c r="D7" s="26" t="s">
        <v>12</v>
      </c>
      <c r="E7" s="188" t="s">
        <v>3</v>
      </c>
      <c r="F7" s="264" t="s">
        <v>691</v>
      </c>
      <c r="G7" s="189" t="s">
        <v>322</v>
      </c>
      <c r="H7" s="190" t="s">
        <v>4</v>
      </c>
      <c r="I7" s="27" t="s">
        <v>561</v>
      </c>
      <c r="J7" s="301"/>
      <c r="K7" s="28" t="s">
        <v>357</v>
      </c>
      <c r="L7" s="28" t="s">
        <v>358</v>
      </c>
    </row>
    <row r="8" spans="1:12">
      <c r="A8" s="118"/>
      <c r="B8" s="179"/>
      <c r="C8" s="179"/>
      <c r="D8" s="80"/>
      <c r="E8" s="80"/>
      <c r="F8" s="265"/>
      <c r="G8" s="80"/>
      <c r="H8" s="80"/>
      <c r="I8" s="180" t="str">
        <f>IF(COUNTIF(D9,"x")&gt;0,"x","")</f>
        <v>x</v>
      </c>
      <c r="J8" s="80"/>
      <c r="K8" s="80"/>
      <c r="L8" s="80"/>
    </row>
    <row r="9" spans="1:12" ht="18" customHeight="1">
      <c r="A9" s="132" t="s">
        <v>176</v>
      </c>
      <c r="B9" s="191"/>
      <c r="C9" s="191"/>
      <c r="D9" s="52" t="s">
        <v>738</v>
      </c>
      <c r="E9" s="152"/>
      <c r="F9" s="275"/>
      <c r="G9" s="135"/>
      <c r="H9" s="192" t="s">
        <v>599</v>
      </c>
      <c r="I9" s="27" t="str">
        <f>IF(COUNTIF(D9:D9,"x")&gt;0,"x","")</f>
        <v>x</v>
      </c>
      <c r="J9" s="29"/>
      <c r="K9" s="30"/>
      <c r="L9" s="30"/>
    </row>
    <row r="10" spans="1:12" ht="14.25" customHeight="1">
      <c r="A10" s="132"/>
      <c r="B10" s="191"/>
      <c r="C10" s="193"/>
      <c r="D10" s="134"/>
      <c r="E10" s="133"/>
      <c r="F10" s="155"/>
      <c r="G10" s="135"/>
      <c r="H10" s="194"/>
      <c r="I10" s="27"/>
      <c r="J10" s="29"/>
      <c r="K10" s="30"/>
      <c r="L10" s="30"/>
    </row>
    <row r="11" spans="1:12" ht="14.25" customHeight="1" thickBot="1">
      <c r="A11" s="118"/>
      <c r="B11" s="179"/>
      <c r="C11" s="179"/>
      <c r="D11" s="80"/>
      <c r="E11" s="80"/>
      <c r="F11" s="265"/>
      <c r="G11" s="80"/>
      <c r="H11" s="80"/>
      <c r="I11" s="180" t="str">
        <f>IF(COUNTIF(D12,"x")&gt;0,"x","")</f>
        <v>x</v>
      </c>
      <c r="J11" s="80"/>
      <c r="K11" s="80"/>
      <c r="L11" s="80"/>
    </row>
    <row r="12" spans="1:12" ht="21" customHeight="1" thickBot="1">
      <c r="A12" s="195" t="s">
        <v>639</v>
      </c>
      <c r="B12" s="132"/>
      <c r="C12" s="132"/>
      <c r="D12" s="31" t="str">
        <f>IF('Variabelliste - velg tabeller'!C11="","",'Variabelliste - velg tabeller'!C11)</f>
        <v>x</v>
      </c>
      <c r="E12" s="196" t="s">
        <v>722</v>
      </c>
      <c r="F12" s="266"/>
      <c r="G12" s="135"/>
      <c r="H12" s="197"/>
      <c r="I12" s="32" t="str">
        <f>IF(COUNTIF(D13:D19,"x")&gt;0,"x","")</f>
        <v>x</v>
      </c>
      <c r="J12" s="33"/>
      <c r="K12" s="34" t="s">
        <v>363</v>
      </c>
      <c r="L12" s="34" t="s">
        <v>602</v>
      </c>
    </row>
    <row r="13" spans="1:12" ht="17.25" customHeight="1">
      <c r="A13" s="198" t="s">
        <v>641</v>
      </c>
      <c r="B13" s="199"/>
      <c r="C13" s="199"/>
      <c r="D13" s="199"/>
      <c r="E13" s="200"/>
      <c r="F13" s="201"/>
      <c r="G13" s="135" t="s">
        <v>636</v>
      </c>
      <c r="H13" s="199"/>
      <c r="I13" s="27" t="str">
        <f>IF(COUNTIF(D13,"x")&gt;0,"x","")</f>
        <v/>
      </c>
      <c r="J13" s="35"/>
      <c r="K13" s="30"/>
      <c r="L13" s="30"/>
    </row>
    <row r="14" spans="1:12" s="119" customFormat="1">
      <c r="A14" s="132" t="s">
        <v>560</v>
      </c>
      <c r="B14" s="191"/>
      <c r="C14" s="191"/>
      <c r="D14" s="134" t="s">
        <v>738</v>
      </c>
      <c r="E14" s="196" t="s">
        <v>722</v>
      </c>
      <c r="F14" s="275" t="s">
        <v>692</v>
      </c>
      <c r="G14" s="275" t="s">
        <v>365</v>
      </c>
      <c r="H14" s="192" t="s">
        <v>370</v>
      </c>
      <c r="I14" s="27" t="str">
        <f>IF(COUNTIF(D14,"x")&gt;0,"x","")</f>
        <v>x</v>
      </c>
      <c r="J14" s="29"/>
      <c r="K14" s="34" t="s">
        <v>363</v>
      </c>
      <c r="L14" s="34" t="s">
        <v>602</v>
      </c>
    </row>
    <row r="15" spans="1:12" s="119" customFormat="1">
      <c r="A15" s="132" t="s">
        <v>576</v>
      </c>
      <c r="B15" s="191"/>
      <c r="C15" s="191"/>
      <c r="D15" s="134" t="s">
        <v>738</v>
      </c>
      <c r="E15" s="196" t="s">
        <v>722</v>
      </c>
      <c r="F15" s="266"/>
      <c r="G15" s="275" t="s">
        <v>365</v>
      </c>
      <c r="H15" s="192" t="s">
        <v>574</v>
      </c>
      <c r="I15" s="27" t="str">
        <f>IF(COUNTIF(D15,"x")&gt;0,"x","")</f>
        <v>x</v>
      </c>
      <c r="J15" s="29"/>
      <c r="K15" s="34" t="s">
        <v>363</v>
      </c>
      <c r="L15" s="34" t="s">
        <v>602</v>
      </c>
    </row>
    <row r="16" spans="1:12" s="119" customFormat="1">
      <c r="A16" s="132" t="s">
        <v>578</v>
      </c>
      <c r="B16" s="191"/>
      <c r="C16" s="191"/>
      <c r="D16" s="134" t="s">
        <v>738</v>
      </c>
      <c r="E16" s="196" t="s">
        <v>722</v>
      </c>
      <c r="F16" s="275" t="s">
        <v>636</v>
      </c>
      <c r="G16" s="275" t="s">
        <v>365</v>
      </c>
      <c r="H16" s="192" t="s">
        <v>575</v>
      </c>
      <c r="I16" s="27" t="str">
        <f>IF(COUNTIF(D16,"x")&gt;0,"x","")</f>
        <v>x</v>
      </c>
      <c r="J16" s="29"/>
      <c r="K16" s="34" t="s">
        <v>363</v>
      </c>
      <c r="L16" s="34" t="s">
        <v>602</v>
      </c>
    </row>
    <row r="17" spans="1:12" s="119" customFormat="1">
      <c r="A17" s="202"/>
      <c r="B17" s="202"/>
      <c r="C17" s="202"/>
      <c r="D17" s="202"/>
      <c r="E17" s="202"/>
      <c r="F17" s="202"/>
      <c r="G17" s="135" t="s">
        <v>636</v>
      </c>
      <c r="H17" s="192"/>
      <c r="I17" s="27"/>
      <c r="J17" s="29"/>
      <c r="K17" s="34"/>
      <c r="L17" s="34"/>
    </row>
    <row r="18" spans="1:12" ht="16.5" customHeight="1">
      <c r="A18" s="203" t="s">
        <v>642</v>
      </c>
      <c r="B18" s="203"/>
      <c r="C18" s="203"/>
      <c r="D18" s="204"/>
      <c r="E18" s="203"/>
      <c r="F18" s="203"/>
      <c r="G18" s="205"/>
      <c r="H18" s="206"/>
      <c r="I18" s="27" t="str">
        <f>IF(COUNTIF(D18,"x")&gt;0,"x","")</f>
        <v/>
      </c>
      <c r="J18" s="36"/>
      <c r="K18" s="30"/>
      <c r="L18" s="30"/>
    </row>
    <row r="19" spans="1:12" s="119" customFormat="1">
      <c r="A19" s="132" t="s">
        <v>638</v>
      </c>
      <c r="B19" s="191"/>
      <c r="C19" s="191"/>
      <c r="D19" s="134" t="s">
        <v>738</v>
      </c>
      <c r="E19" s="152" t="s">
        <v>719</v>
      </c>
      <c r="F19" s="155"/>
      <c r="G19" s="155"/>
      <c r="H19" s="192" t="s">
        <v>359</v>
      </c>
      <c r="I19" s="27" t="str">
        <f>IF(COUNTIF(D19,"x")&gt;0,"x","")</f>
        <v>x</v>
      </c>
      <c r="J19" s="29"/>
      <c r="K19" s="34" t="s">
        <v>363</v>
      </c>
      <c r="L19" s="34" t="s">
        <v>602</v>
      </c>
    </row>
    <row r="20" spans="1:12" s="119" customFormat="1">
      <c r="A20" s="207"/>
      <c r="B20" s="193"/>
      <c r="C20" s="193"/>
      <c r="D20" s="134"/>
      <c r="E20" s="152"/>
      <c r="F20" s="155"/>
      <c r="G20" s="155"/>
      <c r="H20" s="192"/>
      <c r="I20" s="27"/>
      <c r="J20" s="29"/>
      <c r="K20" s="34"/>
      <c r="L20" s="34"/>
    </row>
    <row r="21" spans="1:12" s="119" customFormat="1">
      <c r="A21" s="208" t="s">
        <v>425</v>
      </c>
      <c r="B21" s="209"/>
      <c r="C21" s="209"/>
      <c r="D21" s="134"/>
      <c r="E21" s="152"/>
      <c r="F21" s="155"/>
      <c r="G21" s="155"/>
      <c r="H21" s="192"/>
      <c r="I21" s="27"/>
      <c r="J21" s="29"/>
      <c r="K21" s="34"/>
      <c r="L21" s="34"/>
    </row>
    <row r="22" spans="1:12">
      <c r="A22" s="210"/>
      <c r="B22" s="211"/>
      <c r="C22" s="211"/>
      <c r="D22" s="140"/>
      <c r="E22" s="140"/>
      <c r="F22" s="267"/>
      <c r="G22" s="140"/>
      <c r="H22" s="140"/>
      <c r="I22" s="27"/>
      <c r="J22" s="37"/>
      <c r="K22" s="38"/>
      <c r="L22" s="38"/>
    </row>
    <row r="23" spans="1:12" ht="14.25" customHeight="1" thickBot="1">
      <c r="A23" s="118"/>
      <c r="B23" s="179"/>
      <c r="C23" s="179"/>
      <c r="D23" s="80"/>
      <c r="E23" s="80"/>
      <c r="F23" s="265"/>
      <c r="G23" s="80"/>
      <c r="H23" s="80"/>
      <c r="I23" s="180" t="str">
        <f>IF(COUNTIF(D24,"x")&gt;0,"x","")</f>
        <v>x</v>
      </c>
      <c r="J23" s="80"/>
      <c r="K23" s="80"/>
      <c r="L23" s="80"/>
    </row>
    <row r="24" spans="1:12" ht="21" customHeight="1" thickBot="1">
      <c r="A24" s="195" t="s">
        <v>424</v>
      </c>
      <c r="B24" s="195"/>
      <c r="C24" s="195"/>
      <c r="D24" s="31" t="str">
        <f>IF('Variabelliste - velg tabeller'!C17="","",'Variabelliste - velg tabeller'!C17)</f>
        <v>x</v>
      </c>
      <c r="E24" s="212" t="s">
        <v>722</v>
      </c>
      <c r="F24" s="268"/>
      <c r="G24" s="213"/>
      <c r="H24" s="214"/>
      <c r="I24" s="32" t="str">
        <f>IF(COUNTIF(D25:D39,"x")&gt;0,"x","")</f>
        <v>x</v>
      </c>
      <c r="J24" s="39"/>
      <c r="K24" s="34" t="s">
        <v>321</v>
      </c>
      <c r="L24" s="40"/>
    </row>
    <row r="25" spans="1:12" s="119" customFormat="1" ht="14.25" customHeight="1">
      <c r="A25" s="132" t="s">
        <v>314</v>
      </c>
      <c r="B25" s="191"/>
      <c r="C25" s="191"/>
      <c r="D25" s="215" t="str">
        <f>D24</f>
        <v>x</v>
      </c>
      <c r="E25" s="152" t="s">
        <v>722</v>
      </c>
      <c r="F25" s="155"/>
      <c r="G25" s="304" t="s">
        <v>349</v>
      </c>
      <c r="H25" s="192" t="s">
        <v>315</v>
      </c>
      <c r="I25" s="32" t="str">
        <f t="shared" ref="I25:I40" si="0">IF(COUNTIF(D25,"x")&gt;0,"x","")</f>
        <v>x</v>
      </c>
      <c r="J25" s="29"/>
      <c r="K25" s="34" t="s">
        <v>321</v>
      </c>
      <c r="L25" s="30"/>
    </row>
    <row r="26" spans="1:12" s="119" customFormat="1" ht="14.25" customHeight="1">
      <c r="A26" s="132" t="s">
        <v>199</v>
      </c>
      <c r="B26" s="191"/>
      <c r="C26" s="191"/>
      <c r="D26" s="215" t="str">
        <f>D24</f>
        <v>x</v>
      </c>
      <c r="E26" s="212" t="s">
        <v>722</v>
      </c>
      <c r="F26" s="155"/>
      <c r="G26" s="305"/>
      <c r="H26" s="192" t="s">
        <v>190</v>
      </c>
      <c r="I26" s="32" t="str">
        <f t="shared" si="0"/>
        <v>x</v>
      </c>
      <c r="J26" s="29"/>
      <c r="K26" s="34" t="s">
        <v>321</v>
      </c>
      <c r="L26" s="30"/>
    </row>
    <row r="27" spans="1:12" s="119" customFormat="1" ht="14.25" customHeight="1">
      <c r="A27" s="132" t="s">
        <v>316</v>
      </c>
      <c r="B27" s="191"/>
      <c r="C27" s="191"/>
      <c r="D27" s="215" t="str">
        <f>D24</f>
        <v>x</v>
      </c>
      <c r="E27" s="152" t="s">
        <v>722</v>
      </c>
      <c r="F27" s="155"/>
      <c r="G27" s="305"/>
      <c r="H27" s="192" t="s">
        <v>192</v>
      </c>
      <c r="I27" s="32" t="str">
        <f t="shared" si="0"/>
        <v>x</v>
      </c>
      <c r="J27" s="29"/>
      <c r="K27" s="34" t="s">
        <v>321</v>
      </c>
      <c r="L27" s="30"/>
    </row>
    <row r="28" spans="1:12" s="119" customFormat="1" ht="14.25" customHeight="1">
      <c r="A28" s="132" t="s">
        <v>193</v>
      </c>
      <c r="B28" s="191"/>
      <c r="C28" s="191"/>
      <c r="D28" s="215" t="str">
        <f>D24</f>
        <v>x</v>
      </c>
      <c r="E28" s="212" t="s">
        <v>722</v>
      </c>
      <c r="F28" s="155"/>
      <c r="G28" s="305"/>
      <c r="H28" s="192" t="s">
        <v>194</v>
      </c>
      <c r="I28" s="32" t="str">
        <f t="shared" si="0"/>
        <v>x</v>
      </c>
      <c r="J28" s="29"/>
      <c r="K28" s="34" t="s">
        <v>321</v>
      </c>
      <c r="L28" s="30"/>
    </row>
    <row r="29" spans="1:12" s="119" customFormat="1" ht="14.25" customHeight="1">
      <c r="A29" s="132" t="s">
        <v>317</v>
      </c>
      <c r="B29" s="191"/>
      <c r="C29" s="191"/>
      <c r="D29" s="215" t="str">
        <f>D24</f>
        <v>x</v>
      </c>
      <c r="E29" s="152" t="s">
        <v>722</v>
      </c>
      <c r="F29" s="155"/>
      <c r="G29" s="305"/>
      <c r="H29" s="192" t="s">
        <v>318</v>
      </c>
      <c r="I29" s="32" t="str">
        <f t="shared" si="0"/>
        <v>x</v>
      </c>
      <c r="J29" s="29"/>
      <c r="K29" s="34" t="s">
        <v>321</v>
      </c>
      <c r="L29" s="30"/>
    </row>
    <row r="30" spans="1:12" s="119" customFormat="1" ht="14.25" customHeight="1">
      <c r="A30" s="216" t="s">
        <v>345</v>
      </c>
      <c r="B30" s="217"/>
      <c r="C30" s="217"/>
      <c r="D30" s="215" t="str">
        <f>D24</f>
        <v>x</v>
      </c>
      <c r="E30" s="212" t="s">
        <v>722</v>
      </c>
      <c r="F30" s="155"/>
      <c r="G30" s="305"/>
      <c r="H30" s="192" t="s">
        <v>319</v>
      </c>
      <c r="I30" s="32" t="str">
        <f t="shared" si="0"/>
        <v>x</v>
      </c>
      <c r="J30" s="29"/>
      <c r="K30" s="34" t="s">
        <v>321</v>
      </c>
      <c r="L30" s="30"/>
    </row>
    <row r="31" spans="1:12" s="119" customFormat="1" ht="14.25" customHeight="1">
      <c r="A31" s="132" t="s">
        <v>427</v>
      </c>
      <c r="B31" s="191"/>
      <c r="C31" s="191"/>
      <c r="D31" s="134" t="s">
        <v>738</v>
      </c>
      <c r="E31" s="152" t="s">
        <v>722</v>
      </c>
      <c r="F31" s="155"/>
      <c r="G31" s="305"/>
      <c r="H31" s="192" t="s">
        <v>133</v>
      </c>
      <c r="I31" s="32" t="str">
        <f t="shared" si="0"/>
        <v>x</v>
      </c>
      <c r="J31" s="29"/>
      <c r="K31" s="34" t="s">
        <v>321</v>
      </c>
      <c r="L31" s="30"/>
    </row>
    <row r="32" spans="1:12" s="119" customFormat="1" ht="14.25" customHeight="1">
      <c r="A32" s="132" t="s">
        <v>428</v>
      </c>
      <c r="B32" s="191"/>
      <c r="C32" s="191"/>
      <c r="D32" s="215" t="str">
        <f>IF(D31&lt;&gt;"",D31,"")</f>
        <v>x</v>
      </c>
      <c r="E32" s="212" t="s">
        <v>722</v>
      </c>
      <c r="F32" s="155"/>
      <c r="G32" s="305"/>
      <c r="H32" s="192" t="s">
        <v>515</v>
      </c>
      <c r="I32" s="32" t="str">
        <f t="shared" si="0"/>
        <v>x</v>
      </c>
      <c r="J32" s="29"/>
      <c r="K32" s="34" t="s">
        <v>321</v>
      </c>
      <c r="L32" s="30"/>
    </row>
    <row r="33" spans="1:12" s="119" customFormat="1" ht="14.25" customHeight="1">
      <c r="A33" s="207" t="s">
        <v>430</v>
      </c>
      <c r="B33" s="193"/>
      <c r="C33" s="193"/>
      <c r="D33" s="134" t="s">
        <v>738</v>
      </c>
      <c r="E33" s="152" t="s">
        <v>722</v>
      </c>
      <c r="F33" s="275" t="s">
        <v>692</v>
      </c>
      <c r="G33" s="305"/>
      <c r="H33" s="192" t="s">
        <v>134</v>
      </c>
      <c r="I33" s="32" t="str">
        <f t="shared" si="0"/>
        <v>x</v>
      </c>
      <c r="J33" s="29"/>
      <c r="K33" s="34" t="s">
        <v>321</v>
      </c>
      <c r="L33" s="30"/>
    </row>
    <row r="34" spans="1:12" s="119" customFormat="1" ht="14.25" customHeight="1">
      <c r="A34" s="207" t="s">
        <v>429</v>
      </c>
      <c r="B34" s="193"/>
      <c r="C34" s="193"/>
      <c r="D34" s="215" t="str">
        <f>IF(D33&lt;&gt;"",D33,"")</f>
        <v>x</v>
      </c>
      <c r="E34" s="212" t="s">
        <v>722</v>
      </c>
      <c r="F34" s="155"/>
      <c r="G34" s="305"/>
      <c r="H34" s="192" t="s">
        <v>514</v>
      </c>
      <c r="I34" s="32" t="str">
        <f t="shared" si="0"/>
        <v>x</v>
      </c>
      <c r="J34" s="29"/>
      <c r="K34" s="34" t="s">
        <v>321</v>
      </c>
      <c r="L34" s="30"/>
    </row>
    <row r="35" spans="1:12" s="119" customFormat="1" ht="14.25" customHeight="1">
      <c r="A35" s="132" t="s">
        <v>431</v>
      </c>
      <c r="B35" s="191"/>
      <c r="C35" s="191"/>
      <c r="D35" s="134" t="s">
        <v>738</v>
      </c>
      <c r="E35" s="152" t="s">
        <v>722</v>
      </c>
      <c r="F35" s="155"/>
      <c r="G35" s="305"/>
      <c r="H35" s="192" t="s">
        <v>135</v>
      </c>
      <c r="I35" s="32" t="str">
        <f t="shared" si="0"/>
        <v>x</v>
      </c>
      <c r="J35" s="29"/>
      <c r="K35" s="34" t="s">
        <v>321</v>
      </c>
      <c r="L35" s="30"/>
    </row>
    <row r="36" spans="1:12" s="119" customFormat="1" ht="14.25" customHeight="1">
      <c r="A36" s="132" t="s">
        <v>432</v>
      </c>
      <c r="B36" s="191"/>
      <c r="C36" s="191"/>
      <c r="D36" s="215" t="str">
        <f>IF(D35&lt;&gt;"",D35,"")</f>
        <v>x</v>
      </c>
      <c r="E36" s="212" t="s">
        <v>722</v>
      </c>
      <c r="F36" s="155"/>
      <c r="G36" s="305"/>
      <c r="H36" s="192" t="s">
        <v>516</v>
      </c>
      <c r="I36" s="32" t="str">
        <f t="shared" si="0"/>
        <v>x</v>
      </c>
      <c r="J36" s="29"/>
      <c r="K36" s="34" t="s">
        <v>321</v>
      </c>
      <c r="L36" s="30"/>
    </row>
    <row r="37" spans="1:12" s="119" customFormat="1" ht="14.25" customHeight="1">
      <c r="A37" s="132" t="s">
        <v>389</v>
      </c>
      <c r="B37" s="191"/>
      <c r="C37" s="191"/>
      <c r="D37" s="134" t="str">
        <f>D24</f>
        <v>x</v>
      </c>
      <c r="E37" s="152" t="s">
        <v>722</v>
      </c>
      <c r="F37" s="155"/>
      <c r="G37" s="305"/>
      <c r="H37" s="192" t="s">
        <v>136</v>
      </c>
      <c r="I37" s="32" t="str">
        <f t="shared" si="0"/>
        <v>x</v>
      </c>
      <c r="J37" s="29"/>
      <c r="K37" s="34" t="s">
        <v>321</v>
      </c>
      <c r="L37" s="30"/>
    </row>
    <row r="38" spans="1:12" s="119" customFormat="1" ht="14.25" customHeight="1">
      <c r="A38" s="132" t="s">
        <v>573</v>
      </c>
      <c r="B38" s="191"/>
      <c r="C38" s="191"/>
      <c r="D38" s="134" t="s">
        <v>738</v>
      </c>
      <c r="E38" s="212" t="s">
        <v>722</v>
      </c>
      <c r="F38" s="155"/>
      <c r="G38" s="305"/>
      <c r="H38" s="192" t="s">
        <v>562</v>
      </c>
      <c r="I38" s="32" t="str">
        <f t="shared" si="0"/>
        <v>x</v>
      </c>
      <c r="J38" s="23" t="s">
        <v>607</v>
      </c>
      <c r="K38" s="34" t="s">
        <v>321</v>
      </c>
      <c r="L38" s="30"/>
    </row>
    <row r="39" spans="1:12" s="119" customFormat="1" ht="14.25" customHeight="1">
      <c r="A39" s="132" t="s">
        <v>327</v>
      </c>
      <c r="B39" s="191"/>
      <c r="C39" s="191"/>
      <c r="D39" s="134" t="s">
        <v>738</v>
      </c>
      <c r="E39" s="152" t="s">
        <v>722</v>
      </c>
      <c r="F39" s="155"/>
      <c r="G39" s="305"/>
      <c r="H39" s="192" t="s">
        <v>328</v>
      </c>
      <c r="I39" s="32" t="str">
        <f t="shared" si="0"/>
        <v>x</v>
      </c>
      <c r="J39" s="23"/>
      <c r="K39" s="34" t="s">
        <v>321</v>
      </c>
      <c r="L39" s="30"/>
    </row>
    <row r="40" spans="1:12">
      <c r="A40" s="210"/>
      <c r="B40" s="211"/>
      <c r="C40" s="211"/>
      <c r="D40" s="140"/>
      <c r="E40" s="140"/>
      <c r="F40" s="267"/>
      <c r="G40" s="140"/>
      <c r="H40" s="140"/>
      <c r="I40" s="32" t="str">
        <f t="shared" si="0"/>
        <v/>
      </c>
      <c r="J40" s="37"/>
      <c r="K40" s="38"/>
      <c r="L40" s="38"/>
    </row>
    <row r="41" spans="1:12">
      <c r="A41" s="218" t="s">
        <v>425</v>
      </c>
      <c r="B41" s="211"/>
      <c r="C41" s="211"/>
      <c r="D41" s="140"/>
      <c r="E41" s="140"/>
      <c r="F41" s="267"/>
      <c r="G41" s="140"/>
      <c r="H41" s="140"/>
      <c r="I41" s="27" t="str">
        <f>IF(COUNTIF(B41:D41,"x")&gt;0,"x","")</f>
        <v/>
      </c>
      <c r="J41" s="37"/>
      <c r="K41" s="38"/>
      <c r="L41" s="38"/>
    </row>
    <row r="42" spans="1:12">
      <c r="A42" s="210"/>
      <c r="B42" s="211"/>
      <c r="C42" s="211"/>
      <c r="D42" s="140"/>
      <c r="E42" s="140"/>
      <c r="F42" s="267"/>
      <c r="G42" s="140"/>
      <c r="H42" s="140"/>
      <c r="I42" s="27" t="str">
        <f t="shared" ref="I42" si="1">IF(COUNTIF(B42:D42,"x")&gt;0,"x","")</f>
        <v/>
      </c>
      <c r="J42" s="37"/>
      <c r="K42" s="38"/>
      <c r="L42" s="38"/>
    </row>
    <row r="43" spans="1:12" ht="14.25" customHeight="1">
      <c r="A43" s="118"/>
      <c r="B43" s="179"/>
      <c r="C43" s="179"/>
      <c r="D43" s="80"/>
      <c r="E43" s="80"/>
      <c r="F43" s="265"/>
      <c r="G43" s="80"/>
      <c r="H43" s="80"/>
      <c r="I43" s="180" t="str">
        <f>IF(COUNTIF(D44,"x")&gt;0,"x","")</f>
        <v/>
      </c>
      <c r="J43" s="80"/>
      <c r="K43" s="80"/>
      <c r="L43" s="80"/>
    </row>
    <row r="44" spans="1:12" s="119" customFormat="1" ht="27" customHeight="1">
      <c r="A44" s="219" t="s">
        <v>421</v>
      </c>
      <c r="B44" s="220" t="s">
        <v>658</v>
      </c>
      <c r="C44" s="220" t="s">
        <v>659</v>
      </c>
      <c r="D44" s="221" t="s">
        <v>640</v>
      </c>
      <c r="E44" s="152"/>
      <c r="F44" s="155"/>
      <c r="G44" s="155"/>
      <c r="H44" s="192"/>
      <c r="I44" s="27" t="str">
        <f>IF(I45="x","x",IF(I46="x","x",IF(I47="x","x","")))</f>
        <v>x</v>
      </c>
      <c r="J44" s="29"/>
      <c r="K44" s="34" t="s">
        <v>324</v>
      </c>
      <c r="L44" s="34"/>
    </row>
    <row r="45" spans="1:12" s="119" customFormat="1">
      <c r="A45" s="203" t="s">
        <v>657</v>
      </c>
      <c r="B45" s="41" t="str">
        <f>IF('Variabelliste - velg tabeller'!C27&lt;&gt; "",'Variabelliste - velg tabeller'!C27,"")</f>
        <v>x</v>
      </c>
      <c r="C45" s="184"/>
      <c r="D45" s="185"/>
      <c r="E45" s="152" t="s">
        <v>722</v>
      </c>
      <c r="F45" s="155"/>
      <c r="G45" s="155"/>
      <c r="H45" s="192"/>
      <c r="I45" s="27" t="str">
        <f>IF(COUNTIF(B49:B144,"x")&gt;0,"x","")</f>
        <v>x</v>
      </c>
      <c r="J45" s="29"/>
      <c r="K45" s="34" t="s">
        <v>324</v>
      </c>
      <c r="L45" s="30"/>
    </row>
    <row r="46" spans="1:12" s="119" customFormat="1">
      <c r="A46" s="203" t="s">
        <v>656</v>
      </c>
      <c r="B46" s="181"/>
      <c r="C46" s="42" t="str">
        <f>IF('Variabelliste - velg tabeller'!C30&lt;&gt; "",'Variabelliste - velg tabeller'!C30,"")</f>
        <v>x</v>
      </c>
      <c r="D46" s="186"/>
      <c r="E46" s="152" t="s">
        <v>722</v>
      </c>
      <c r="F46" s="155"/>
      <c r="G46" s="155"/>
      <c r="H46" s="192"/>
      <c r="I46" s="27" t="str">
        <f>IF(COUNTIF(C49:C144,"x")&gt;0,"x","")</f>
        <v>x</v>
      </c>
      <c r="J46" s="29"/>
      <c r="K46" s="34" t="s">
        <v>324</v>
      </c>
      <c r="L46" s="30"/>
    </row>
    <row r="47" spans="1:12" s="119" customFormat="1">
      <c r="A47" s="203" t="s">
        <v>611</v>
      </c>
      <c r="B47" s="182"/>
      <c r="C47" s="183"/>
      <c r="D47" s="43" t="str">
        <f>IF('Variabelliste - velg tabeller'!C37&lt;&gt; "",'Variabelliste - velg tabeller'!C37,"")</f>
        <v>x</v>
      </c>
      <c r="E47" s="152" t="s">
        <v>722</v>
      </c>
      <c r="F47" s="155"/>
      <c r="G47" s="155"/>
      <c r="H47" s="192"/>
      <c r="I47" s="27" t="str">
        <f>IF(COUNTIF(D49:D144,"x")&gt;0,"x","")</f>
        <v>x</v>
      </c>
      <c r="J47" s="29"/>
      <c r="K47" s="34" t="s">
        <v>324</v>
      </c>
      <c r="L47" s="30"/>
    </row>
    <row r="48" spans="1:12" s="119" customFormat="1" ht="14.25" customHeight="1">
      <c r="A48" s="222"/>
      <c r="B48" s="223"/>
      <c r="C48" s="224"/>
      <c r="D48" s="225"/>
      <c r="E48" s="133"/>
      <c r="F48" s="155"/>
      <c r="G48" s="155"/>
      <c r="H48" s="192"/>
      <c r="I48" s="27"/>
      <c r="J48" s="29"/>
      <c r="K48" s="34" t="s">
        <v>324</v>
      </c>
      <c r="L48" s="30"/>
    </row>
    <row r="49" spans="1:12" s="119" customFormat="1" ht="14.25" customHeight="1">
      <c r="A49" s="216" t="s">
        <v>314</v>
      </c>
      <c r="B49" s="226"/>
      <c r="C49" s="227"/>
      <c r="D49" s="228" t="str">
        <f>D47</f>
        <v>x</v>
      </c>
      <c r="E49" s="229" t="s">
        <v>722</v>
      </c>
      <c r="F49" s="155"/>
      <c r="G49" s="304" t="s">
        <v>348</v>
      </c>
      <c r="H49" s="192" t="s">
        <v>315</v>
      </c>
      <c r="I49" s="27" t="str">
        <f>IF(COUNTIF(B49:D49,"x")&gt;0,"x","")</f>
        <v>x</v>
      </c>
      <c r="J49" s="29"/>
      <c r="K49" s="34" t="s">
        <v>324</v>
      </c>
      <c r="L49" s="30"/>
    </row>
    <row r="50" spans="1:12" s="119" customFormat="1" ht="14.25" customHeight="1">
      <c r="A50" s="216" t="s">
        <v>199</v>
      </c>
      <c r="B50" s="230" t="str">
        <f>B45</f>
        <v>x</v>
      </c>
      <c r="C50" s="227"/>
      <c r="D50" s="231" t="str">
        <f>D47</f>
        <v>x</v>
      </c>
      <c r="E50" s="152" t="s">
        <v>722</v>
      </c>
      <c r="F50" s="155"/>
      <c r="G50" s="305"/>
      <c r="H50" s="192" t="s">
        <v>190</v>
      </c>
      <c r="I50" s="27" t="str">
        <f t="shared" ref="I50:I79" si="2">IF(COUNTIF(B50:D50,"x")&gt;0,"x","")</f>
        <v>x</v>
      </c>
      <c r="J50" s="29"/>
      <c r="K50" s="34" t="s">
        <v>324</v>
      </c>
      <c r="L50" s="30"/>
    </row>
    <row r="51" spans="1:12" s="119" customFormat="1" ht="14.25" customHeight="1">
      <c r="A51" s="216" t="s">
        <v>316</v>
      </c>
      <c r="B51" s="226"/>
      <c r="C51" s="227"/>
      <c r="D51" s="228" t="str">
        <f>D47</f>
        <v>x</v>
      </c>
      <c r="E51" s="229" t="s">
        <v>722</v>
      </c>
      <c r="F51" s="155"/>
      <c r="G51" s="305"/>
      <c r="H51" s="192" t="s">
        <v>192</v>
      </c>
      <c r="I51" s="27" t="str">
        <f t="shared" si="2"/>
        <v>x</v>
      </c>
      <c r="J51" s="29"/>
      <c r="K51" s="34" t="s">
        <v>324</v>
      </c>
      <c r="L51" s="30"/>
    </row>
    <row r="52" spans="1:12" s="119" customFormat="1" ht="14.25" customHeight="1">
      <c r="A52" s="216" t="s">
        <v>193</v>
      </c>
      <c r="B52" s="226" t="str">
        <f>B45</f>
        <v>x</v>
      </c>
      <c r="C52" s="227"/>
      <c r="D52" s="228" t="str">
        <f>D47</f>
        <v>x</v>
      </c>
      <c r="E52" s="152" t="s">
        <v>722</v>
      </c>
      <c r="F52" s="155"/>
      <c r="G52" s="305"/>
      <c r="H52" s="192" t="s">
        <v>194</v>
      </c>
      <c r="I52" s="27" t="str">
        <f t="shared" si="2"/>
        <v>x</v>
      </c>
      <c r="J52" s="29"/>
      <c r="K52" s="34" t="s">
        <v>324</v>
      </c>
      <c r="L52" s="30"/>
    </row>
    <row r="53" spans="1:12" s="119" customFormat="1" ht="14.25" customHeight="1">
      <c r="A53" s="216" t="s">
        <v>329</v>
      </c>
      <c r="B53" s="232"/>
      <c r="C53" s="227"/>
      <c r="D53" s="228" t="str">
        <f>D47</f>
        <v>x</v>
      </c>
      <c r="E53" s="229" t="s">
        <v>722</v>
      </c>
      <c r="F53" s="155"/>
      <c r="G53" s="305"/>
      <c r="H53" s="192" t="s">
        <v>318</v>
      </c>
      <c r="I53" s="27" t="str">
        <f t="shared" si="2"/>
        <v>x</v>
      </c>
      <c r="J53" s="29"/>
      <c r="K53" s="34" t="s">
        <v>324</v>
      </c>
      <c r="L53" s="30"/>
    </row>
    <row r="54" spans="1:12" s="119" customFormat="1" ht="14.25" customHeight="1">
      <c r="A54" s="216" t="s">
        <v>343</v>
      </c>
      <c r="B54" s="226"/>
      <c r="C54" s="227"/>
      <c r="D54" s="228" t="str">
        <f>D47</f>
        <v>x</v>
      </c>
      <c r="E54" s="152" t="s">
        <v>722</v>
      </c>
      <c r="F54" s="155"/>
      <c r="G54" s="305"/>
      <c r="H54" s="192" t="s">
        <v>330</v>
      </c>
      <c r="I54" s="27" t="str">
        <f t="shared" si="2"/>
        <v>x</v>
      </c>
      <c r="J54" s="29"/>
      <c r="K54" s="34" t="s">
        <v>324</v>
      </c>
      <c r="L54" s="30"/>
    </row>
    <row r="55" spans="1:12" s="119" customFormat="1" ht="14.25" customHeight="1">
      <c r="A55" s="233" t="s">
        <v>345</v>
      </c>
      <c r="B55" s="226"/>
      <c r="C55" s="227"/>
      <c r="D55" s="228" t="str">
        <f>D47</f>
        <v>x</v>
      </c>
      <c r="E55" s="229" t="s">
        <v>722</v>
      </c>
      <c r="F55" s="155"/>
      <c r="G55" s="305"/>
      <c r="H55" s="192" t="s">
        <v>319</v>
      </c>
      <c r="I55" s="27" t="str">
        <f t="shared" si="2"/>
        <v>x</v>
      </c>
      <c r="J55" s="29"/>
      <c r="K55" s="34" t="s">
        <v>324</v>
      </c>
      <c r="L55" s="30"/>
    </row>
    <row r="56" spans="1:12" s="119" customFormat="1" ht="14.25" customHeight="1">
      <c r="A56" s="132" t="s">
        <v>406</v>
      </c>
      <c r="B56" s="226"/>
      <c r="C56" s="227"/>
      <c r="D56" s="225" t="s">
        <v>738</v>
      </c>
      <c r="E56" s="152" t="s">
        <v>722</v>
      </c>
      <c r="F56" s="155"/>
      <c r="G56" s="305"/>
      <c r="H56" s="192" t="s">
        <v>137</v>
      </c>
      <c r="I56" s="27" t="str">
        <f t="shared" si="2"/>
        <v>x</v>
      </c>
      <c r="J56" s="29"/>
      <c r="K56" s="34" t="s">
        <v>324</v>
      </c>
      <c r="L56" s="30"/>
    </row>
    <row r="57" spans="1:12" s="119" customFormat="1" ht="14.25" customHeight="1">
      <c r="A57" s="132" t="s">
        <v>433</v>
      </c>
      <c r="B57" s="226"/>
      <c r="C57" s="227"/>
      <c r="D57" s="225" t="s">
        <v>738</v>
      </c>
      <c r="E57" s="152" t="s">
        <v>727</v>
      </c>
      <c r="F57" s="155"/>
      <c r="G57" s="305"/>
      <c r="H57" s="192" t="s">
        <v>138</v>
      </c>
      <c r="I57" s="27" t="str">
        <f t="shared" si="2"/>
        <v>x</v>
      </c>
      <c r="J57" s="29"/>
      <c r="K57" s="34" t="s">
        <v>324</v>
      </c>
      <c r="L57" s="30"/>
    </row>
    <row r="58" spans="1:12" s="119" customFormat="1" ht="14.25" customHeight="1">
      <c r="A58" s="132" t="s">
        <v>434</v>
      </c>
      <c r="B58" s="232"/>
      <c r="C58" s="234"/>
      <c r="D58" s="235" t="str">
        <f>IF(D57&lt;&gt;"",D57,"")</f>
        <v>x</v>
      </c>
      <c r="E58" s="152" t="s">
        <v>727</v>
      </c>
      <c r="F58" s="155"/>
      <c r="G58" s="305"/>
      <c r="H58" s="192" t="s">
        <v>517</v>
      </c>
      <c r="I58" s="27" t="str">
        <f t="shared" si="2"/>
        <v>x</v>
      </c>
      <c r="J58" s="29"/>
      <c r="K58" s="34" t="s">
        <v>324</v>
      </c>
      <c r="L58" s="30"/>
    </row>
    <row r="59" spans="1:12" s="119" customFormat="1" ht="14.25" customHeight="1">
      <c r="A59" s="132" t="s">
        <v>55</v>
      </c>
      <c r="B59" s="235" t="str">
        <f>B45</f>
        <v>x</v>
      </c>
      <c r="C59" s="236" t="str">
        <f>C46</f>
        <v>x</v>
      </c>
      <c r="D59" s="228" t="str">
        <f>D47</f>
        <v>x</v>
      </c>
      <c r="E59" s="152" t="s">
        <v>722</v>
      </c>
      <c r="F59" s="275" t="s">
        <v>692</v>
      </c>
      <c r="G59" s="305"/>
      <c r="H59" s="192" t="s">
        <v>139</v>
      </c>
      <c r="I59" s="27" t="str">
        <f t="shared" si="2"/>
        <v>x</v>
      </c>
      <c r="J59" s="29"/>
      <c r="K59" s="34" t="s">
        <v>324</v>
      </c>
      <c r="L59" s="30"/>
    </row>
    <row r="60" spans="1:12" s="119" customFormat="1" ht="14.25" customHeight="1">
      <c r="A60" s="132" t="s">
        <v>56</v>
      </c>
      <c r="B60" s="232"/>
      <c r="C60" s="234"/>
      <c r="D60" s="225" t="s">
        <v>738</v>
      </c>
      <c r="E60" s="196" t="s">
        <v>336</v>
      </c>
      <c r="F60" s="266"/>
      <c r="G60" s="305"/>
      <c r="H60" s="192" t="s">
        <v>140</v>
      </c>
      <c r="I60" s="27" t="str">
        <f t="shared" si="2"/>
        <v>x</v>
      </c>
      <c r="J60" s="29"/>
      <c r="K60" s="34" t="s">
        <v>324</v>
      </c>
      <c r="L60" s="30"/>
    </row>
    <row r="61" spans="1:12" s="119" customFormat="1" ht="14.25" customHeight="1">
      <c r="A61" s="132" t="s">
        <v>435</v>
      </c>
      <c r="B61" s="232"/>
      <c r="C61" s="234"/>
      <c r="D61" s="225" t="s">
        <v>738</v>
      </c>
      <c r="E61" s="196" t="s">
        <v>722</v>
      </c>
      <c r="F61" s="266"/>
      <c r="G61" s="305"/>
      <c r="H61" s="192" t="s">
        <v>141</v>
      </c>
      <c r="I61" s="27" t="str">
        <f t="shared" si="2"/>
        <v>x</v>
      </c>
      <c r="J61" s="29"/>
      <c r="K61" s="34" t="s">
        <v>324</v>
      </c>
      <c r="L61" s="30"/>
    </row>
    <row r="62" spans="1:12" s="119" customFormat="1" ht="14.25" customHeight="1">
      <c r="A62" s="132" t="s">
        <v>436</v>
      </c>
      <c r="B62" s="232"/>
      <c r="C62" s="234"/>
      <c r="D62" s="235" t="str">
        <f t="shared" ref="D62" si="3">IF(D61&lt;&gt;"",D61,"")</f>
        <v>x</v>
      </c>
      <c r="E62" s="196" t="s">
        <v>722</v>
      </c>
      <c r="F62" s="266"/>
      <c r="G62" s="305"/>
      <c r="H62" s="192" t="s">
        <v>518</v>
      </c>
      <c r="I62" s="27" t="str">
        <f t="shared" si="2"/>
        <v>x</v>
      </c>
      <c r="J62" s="29"/>
      <c r="K62" s="34" t="s">
        <v>324</v>
      </c>
      <c r="L62" s="30"/>
    </row>
    <row r="63" spans="1:12" s="119" customFormat="1" ht="14.25" customHeight="1">
      <c r="A63" s="132" t="s">
        <v>438</v>
      </c>
      <c r="B63" s="232"/>
      <c r="C63" s="234"/>
      <c r="D63" s="225" t="s">
        <v>738</v>
      </c>
      <c r="E63" s="196" t="s">
        <v>719</v>
      </c>
      <c r="F63" s="266"/>
      <c r="G63" s="305"/>
      <c r="H63" s="192" t="s">
        <v>142</v>
      </c>
      <c r="I63" s="27" t="str">
        <f t="shared" si="2"/>
        <v>x</v>
      </c>
      <c r="J63" s="29"/>
      <c r="K63" s="34" t="s">
        <v>324</v>
      </c>
      <c r="L63" s="30"/>
    </row>
    <row r="64" spans="1:12" s="119" customFormat="1" ht="14.25" customHeight="1">
      <c r="A64" s="132" t="s">
        <v>437</v>
      </c>
      <c r="B64" s="232"/>
      <c r="C64" s="234"/>
      <c r="D64" s="235" t="str">
        <f t="shared" ref="D64" si="4">IF(D63&lt;&gt;"",D63,"")</f>
        <v>x</v>
      </c>
      <c r="E64" s="196" t="s">
        <v>719</v>
      </c>
      <c r="F64" s="266"/>
      <c r="G64" s="305"/>
      <c r="H64" s="192" t="s">
        <v>519</v>
      </c>
      <c r="I64" s="27" t="str">
        <f t="shared" si="2"/>
        <v>x</v>
      </c>
      <c r="J64" s="29"/>
      <c r="K64" s="34" t="s">
        <v>324</v>
      </c>
      <c r="L64" s="30"/>
    </row>
    <row r="65" spans="1:12" s="119" customFormat="1" ht="14.25" customHeight="1">
      <c r="A65" s="132" t="s">
        <v>440</v>
      </c>
      <c r="B65" s="232"/>
      <c r="C65" s="234"/>
      <c r="D65" s="225" t="s">
        <v>738</v>
      </c>
      <c r="E65" s="196" t="s">
        <v>337</v>
      </c>
      <c r="F65" s="266"/>
      <c r="G65" s="305"/>
      <c r="H65" s="192" t="s">
        <v>143</v>
      </c>
      <c r="I65" s="27" t="str">
        <f t="shared" si="2"/>
        <v>x</v>
      </c>
      <c r="J65" s="29"/>
      <c r="K65" s="34" t="s">
        <v>324</v>
      </c>
      <c r="L65" s="30"/>
    </row>
    <row r="66" spans="1:12" s="119" customFormat="1" ht="14.25" customHeight="1">
      <c r="A66" s="132" t="s">
        <v>439</v>
      </c>
      <c r="B66" s="232"/>
      <c r="C66" s="234"/>
      <c r="D66" s="235" t="str">
        <f t="shared" ref="D66" si="5">IF(D65&lt;&gt;"",D65,"")</f>
        <v>x</v>
      </c>
      <c r="E66" s="196" t="s">
        <v>337</v>
      </c>
      <c r="F66" s="266"/>
      <c r="G66" s="305"/>
      <c r="H66" s="192" t="s">
        <v>520</v>
      </c>
      <c r="I66" s="27" t="str">
        <f t="shared" si="2"/>
        <v>x</v>
      </c>
      <c r="J66" s="29"/>
      <c r="K66" s="34" t="s">
        <v>324</v>
      </c>
      <c r="L66" s="30"/>
    </row>
    <row r="67" spans="1:12" s="119" customFormat="1" ht="14.25" customHeight="1">
      <c r="A67" s="132" t="s">
        <v>441</v>
      </c>
      <c r="B67" s="232"/>
      <c r="C67" s="234"/>
      <c r="D67" s="225" t="s">
        <v>738</v>
      </c>
      <c r="E67" s="196" t="s">
        <v>726</v>
      </c>
      <c r="F67" s="266"/>
      <c r="G67" s="305"/>
      <c r="H67" s="192" t="s">
        <v>331</v>
      </c>
      <c r="I67" s="27" t="str">
        <f t="shared" si="2"/>
        <v>x</v>
      </c>
      <c r="J67" s="29"/>
      <c r="K67" s="34" t="s">
        <v>324</v>
      </c>
      <c r="L67" s="30"/>
    </row>
    <row r="68" spans="1:12" s="119" customFormat="1" ht="14.25" customHeight="1">
      <c r="A68" s="132" t="s">
        <v>442</v>
      </c>
      <c r="B68" s="232"/>
      <c r="C68" s="234"/>
      <c r="D68" s="235" t="str">
        <f t="shared" ref="D68" si="6">IF(D67&lt;&gt;"",D67,"")</f>
        <v>x</v>
      </c>
      <c r="E68" s="196" t="s">
        <v>726</v>
      </c>
      <c r="F68" s="266"/>
      <c r="G68" s="305"/>
      <c r="H68" s="192" t="s">
        <v>521</v>
      </c>
      <c r="I68" s="27" t="str">
        <f t="shared" si="2"/>
        <v>x</v>
      </c>
      <c r="J68" s="29"/>
      <c r="K68" s="34" t="s">
        <v>324</v>
      </c>
      <c r="L68" s="30"/>
    </row>
    <row r="69" spans="1:12" s="119" customFormat="1" ht="14.25" customHeight="1">
      <c r="A69" s="132" t="s">
        <v>332</v>
      </c>
      <c r="B69" s="232"/>
      <c r="C69" s="234"/>
      <c r="D69" s="225" t="s">
        <v>738</v>
      </c>
      <c r="E69" s="196" t="s">
        <v>336</v>
      </c>
      <c r="F69" s="266"/>
      <c r="G69" s="305"/>
      <c r="H69" s="192" t="s">
        <v>333</v>
      </c>
      <c r="I69" s="27" t="str">
        <f t="shared" si="2"/>
        <v>x</v>
      </c>
      <c r="J69" s="29"/>
      <c r="K69" s="34" t="s">
        <v>324</v>
      </c>
      <c r="L69" s="30"/>
    </row>
    <row r="70" spans="1:12" s="119" customFormat="1" ht="14.25" customHeight="1">
      <c r="A70" s="132" t="s">
        <v>57</v>
      </c>
      <c r="B70" s="232"/>
      <c r="C70" s="234"/>
      <c r="D70" s="225" t="s">
        <v>738</v>
      </c>
      <c r="E70" s="152" t="s">
        <v>722</v>
      </c>
      <c r="F70" s="155"/>
      <c r="G70" s="305"/>
      <c r="H70" s="192" t="s">
        <v>144</v>
      </c>
      <c r="I70" s="27" t="str">
        <f t="shared" si="2"/>
        <v>x</v>
      </c>
      <c r="J70" s="29"/>
      <c r="K70" s="34" t="s">
        <v>324</v>
      </c>
      <c r="L70" s="30"/>
    </row>
    <row r="71" spans="1:12" s="119" customFormat="1" ht="14.25" customHeight="1">
      <c r="A71" s="132" t="s">
        <v>58</v>
      </c>
      <c r="B71" s="235" t="str">
        <f>B45</f>
        <v>x</v>
      </c>
      <c r="C71" s="237" t="str">
        <f>C46</f>
        <v>x</v>
      </c>
      <c r="D71" s="225" t="s">
        <v>738</v>
      </c>
      <c r="E71" s="152" t="s">
        <v>719</v>
      </c>
      <c r="F71" s="275" t="s">
        <v>692</v>
      </c>
      <c r="G71" s="305"/>
      <c r="H71" s="192" t="s">
        <v>145</v>
      </c>
      <c r="I71" s="27" t="str">
        <f t="shared" si="2"/>
        <v>x</v>
      </c>
      <c r="J71" s="29"/>
      <c r="K71" s="34" t="s">
        <v>324</v>
      </c>
      <c r="L71" s="30"/>
    </row>
    <row r="72" spans="1:12" s="119" customFormat="1" ht="14.25" customHeight="1">
      <c r="A72" s="132" t="s">
        <v>59</v>
      </c>
      <c r="B72" s="232"/>
      <c r="C72" s="234"/>
      <c r="D72" s="225" t="s">
        <v>738</v>
      </c>
      <c r="E72" s="152" t="s">
        <v>725</v>
      </c>
      <c r="F72" s="155"/>
      <c r="G72" s="305"/>
      <c r="H72" s="192" t="s">
        <v>146</v>
      </c>
      <c r="I72" s="27" t="str">
        <f t="shared" si="2"/>
        <v>x</v>
      </c>
      <c r="J72" s="29"/>
      <c r="K72" s="34" t="s">
        <v>324</v>
      </c>
      <c r="L72" s="30"/>
    </row>
    <row r="73" spans="1:12" s="119" customFormat="1" ht="14.25" customHeight="1">
      <c r="A73" s="132" t="s">
        <v>513</v>
      </c>
      <c r="B73" s="232"/>
      <c r="C73" s="234"/>
      <c r="D73" s="225" t="s">
        <v>738</v>
      </c>
      <c r="E73" s="152" t="s">
        <v>719</v>
      </c>
      <c r="F73" s="155"/>
      <c r="G73" s="305"/>
      <c r="H73" s="192" t="s">
        <v>147</v>
      </c>
      <c r="I73" s="27" t="str">
        <f t="shared" si="2"/>
        <v>x</v>
      </c>
      <c r="J73" s="29"/>
      <c r="K73" s="34" t="s">
        <v>324</v>
      </c>
      <c r="L73" s="30"/>
    </row>
    <row r="74" spans="1:12" s="119" customFormat="1" ht="14.25" customHeight="1">
      <c r="A74" s="132" t="s">
        <v>463</v>
      </c>
      <c r="B74" s="232"/>
      <c r="C74" s="234"/>
      <c r="D74" s="235" t="str">
        <f>IF(D73&lt;&gt;"",D73,"")</f>
        <v>x</v>
      </c>
      <c r="E74" s="152" t="s">
        <v>719</v>
      </c>
      <c r="F74" s="155"/>
      <c r="G74" s="305"/>
      <c r="H74" s="192" t="s">
        <v>522</v>
      </c>
      <c r="I74" s="27" t="str">
        <f t="shared" si="2"/>
        <v>x</v>
      </c>
      <c r="J74" s="29"/>
      <c r="K74" s="34" t="s">
        <v>324</v>
      </c>
      <c r="L74" s="30"/>
    </row>
    <row r="75" spans="1:12" s="119" customFormat="1" ht="14.25" customHeight="1">
      <c r="A75" s="132" t="s">
        <v>60</v>
      </c>
      <c r="B75" s="232"/>
      <c r="C75" s="234"/>
      <c r="D75" s="225" t="s">
        <v>738</v>
      </c>
      <c r="E75" s="152" t="s">
        <v>728</v>
      </c>
      <c r="F75" s="155"/>
      <c r="G75" s="305"/>
      <c r="H75" s="192" t="s">
        <v>148</v>
      </c>
      <c r="I75" s="27" t="str">
        <f t="shared" si="2"/>
        <v>x</v>
      </c>
      <c r="J75" s="29"/>
      <c r="K75" s="34" t="s">
        <v>324</v>
      </c>
      <c r="L75" s="30"/>
    </row>
    <row r="76" spans="1:12" s="119" customFormat="1" ht="14.25" customHeight="1">
      <c r="A76" s="132" t="s">
        <v>512</v>
      </c>
      <c r="B76" s="232"/>
      <c r="C76" s="234"/>
      <c r="D76" s="225" t="s">
        <v>738</v>
      </c>
      <c r="E76" s="152" t="s">
        <v>719</v>
      </c>
      <c r="F76" s="155"/>
      <c r="G76" s="305"/>
      <c r="H76" s="192" t="s">
        <v>149</v>
      </c>
      <c r="I76" s="27" t="str">
        <f t="shared" si="2"/>
        <v>x</v>
      </c>
      <c r="J76" s="29"/>
      <c r="K76" s="34" t="s">
        <v>324</v>
      </c>
      <c r="L76" s="30"/>
    </row>
    <row r="77" spans="1:12" s="119" customFormat="1" ht="14.25" customHeight="1">
      <c r="A77" s="238" t="s">
        <v>464</v>
      </c>
      <c r="B77" s="232"/>
      <c r="C77" s="234"/>
      <c r="D77" s="235" t="str">
        <f>IF(D76&lt;&gt;"",D76,"")</f>
        <v>x</v>
      </c>
      <c r="E77" s="152" t="s">
        <v>719</v>
      </c>
      <c r="F77" s="155"/>
      <c r="G77" s="305"/>
      <c r="H77" s="192" t="s">
        <v>523</v>
      </c>
      <c r="I77" s="27" t="str">
        <f t="shared" si="2"/>
        <v>x</v>
      </c>
      <c r="J77" s="29"/>
      <c r="K77" s="34" t="s">
        <v>324</v>
      </c>
      <c r="L77" s="30"/>
    </row>
    <row r="78" spans="1:12" s="119" customFormat="1" ht="14.25" customHeight="1">
      <c r="A78" s="132" t="s">
        <v>511</v>
      </c>
      <c r="B78" s="232"/>
      <c r="C78" s="234"/>
      <c r="D78" s="225" t="s">
        <v>738</v>
      </c>
      <c r="E78" s="152" t="s">
        <v>729</v>
      </c>
      <c r="F78" s="155"/>
      <c r="G78" s="305"/>
      <c r="H78" s="192" t="s">
        <v>150</v>
      </c>
      <c r="I78" s="27" t="str">
        <f t="shared" si="2"/>
        <v>x</v>
      </c>
      <c r="J78" s="29"/>
      <c r="K78" s="34" t="s">
        <v>324</v>
      </c>
      <c r="L78" s="30"/>
    </row>
    <row r="79" spans="1:12" s="119" customFormat="1" ht="14.25" customHeight="1">
      <c r="A79" s="132" t="s">
        <v>465</v>
      </c>
      <c r="B79" s="232"/>
      <c r="C79" s="234"/>
      <c r="D79" s="235" t="str">
        <f>IF(D78&lt;&gt;"",D78,"")</f>
        <v>x</v>
      </c>
      <c r="E79" s="152" t="s">
        <v>729</v>
      </c>
      <c r="F79" s="155"/>
      <c r="G79" s="305"/>
      <c r="H79" s="192" t="s">
        <v>524</v>
      </c>
      <c r="I79" s="27" t="str">
        <f t="shared" si="2"/>
        <v>x</v>
      </c>
      <c r="J79" s="29"/>
      <c r="K79" s="34" t="s">
        <v>324</v>
      </c>
      <c r="L79" s="30"/>
    </row>
    <row r="80" spans="1:12" s="119" customFormat="1" ht="14.25" customHeight="1">
      <c r="A80" s="132" t="s">
        <v>510</v>
      </c>
      <c r="B80" s="232"/>
      <c r="C80" s="234"/>
      <c r="D80" s="225" t="s">
        <v>738</v>
      </c>
      <c r="E80" s="152" t="s">
        <v>719</v>
      </c>
      <c r="F80" s="155"/>
      <c r="G80" s="305"/>
      <c r="H80" s="192" t="s">
        <v>151</v>
      </c>
      <c r="I80" s="27" t="str">
        <f t="shared" ref="I80:I111" si="7">IF(COUNTIF(B80:D80,"x")&gt;0,"x","")</f>
        <v>x</v>
      </c>
      <c r="J80" s="29"/>
      <c r="K80" s="34" t="s">
        <v>324</v>
      </c>
      <c r="L80" s="30"/>
    </row>
    <row r="81" spans="1:12" s="119" customFormat="1" ht="14.25" customHeight="1">
      <c r="A81" s="132" t="s">
        <v>466</v>
      </c>
      <c r="B81" s="232"/>
      <c r="C81" s="234"/>
      <c r="D81" s="235" t="str">
        <f>IF(D80&lt;&gt;"",D80,"")</f>
        <v>x</v>
      </c>
      <c r="E81" s="152" t="s">
        <v>719</v>
      </c>
      <c r="F81" s="155"/>
      <c r="G81" s="305"/>
      <c r="H81" s="192" t="s">
        <v>525</v>
      </c>
      <c r="I81" s="27" t="str">
        <f t="shared" si="7"/>
        <v>x</v>
      </c>
      <c r="J81" s="29"/>
      <c r="K81" s="34" t="s">
        <v>324</v>
      </c>
      <c r="L81" s="30"/>
    </row>
    <row r="82" spans="1:12" s="119" customFormat="1" ht="14.25" customHeight="1">
      <c r="A82" s="132" t="s">
        <v>458</v>
      </c>
      <c r="B82" s="232"/>
      <c r="C82" s="237" t="str">
        <f>C46</f>
        <v>x</v>
      </c>
      <c r="D82" s="225" t="s">
        <v>738</v>
      </c>
      <c r="E82" s="152" t="s">
        <v>721</v>
      </c>
      <c r="F82" s="155"/>
      <c r="G82" s="305"/>
      <c r="H82" s="192" t="s">
        <v>152</v>
      </c>
      <c r="I82" s="27" t="str">
        <f t="shared" si="7"/>
        <v>x</v>
      </c>
      <c r="J82" s="29"/>
      <c r="K82" s="34" t="s">
        <v>324</v>
      </c>
      <c r="L82" s="30"/>
    </row>
    <row r="83" spans="1:12" s="119" customFormat="1" ht="14.25" customHeight="1">
      <c r="A83" s="132" t="s">
        <v>457</v>
      </c>
      <c r="B83" s="232"/>
      <c r="C83" s="234"/>
      <c r="D83" s="235" t="str">
        <f>IF(D82&lt;&gt;"",D82,"")</f>
        <v>x</v>
      </c>
      <c r="E83" s="152" t="s">
        <v>721</v>
      </c>
      <c r="F83" s="155"/>
      <c r="G83" s="305"/>
      <c r="H83" s="192" t="s">
        <v>526</v>
      </c>
      <c r="I83" s="27" t="str">
        <f t="shared" si="7"/>
        <v>x</v>
      </c>
      <c r="J83" s="29"/>
      <c r="K83" s="34" t="s">
        <v>324</v>
      </c>
      <c r="L83" s="30"/>
    </row>
    <row r="84" spans="1:12" s="119" customFormat="1" ht="14.25" customHeight="1">
      <c r="A84" s="132" t="s">
        <v>509</v>
      </c>
      <c r="B84" s="232"/>
      <c r="C84" s="234"/>
      <c r="D84" s="225" t="s">
        <v>738</v>
      </c>
      <c r="E84" s="152" t="s">
        <v>712</v>
      </c>
      <c r="F84" s="155"/>
      <c r="G84" s="305"/>
      <c r="H84" s="192" t="s">
        <v>153</v>
      </c>
      <c r="I84" s="27" t="str">
        <f t="shared" si="7"/>
        <v>x</v>
      </c>
      <c r="J84" s="29"/>
      <c r="K84" s="34" t="s">
        <v>324</v>
      </c>
      <c r="L84" s="30"/>
    </row>
    <row r="85" spans="1:12" s="119" customFormat="1" ht="14.25" customHeight="1">
      <c r="A85" s="132" t="s">
        <v>467</v>
      </c>
      <c r="B85" s="232"/>
      <c r="C85" s="234"/>
      <c r="D85" s="235" t="str">
        <f>IF(D84&lt;&gt;"",D84,"")</f>
        <v>x</v>
      </c>
      <c r="E85" s="152" t="s">
        <v>712</v>
      </c>
      <c r="F85" s="155"/>
      <c r="G85" s="305"/>
      <c r="H85" s="192" t="s">
        <v>527</v>
      </c>
      <c r="I85" s="27" t="str">
        <f t="shared" si="7"/>
        <v>x</v>
      </c>
      <c r="J85" s="29"/>
      <c r="K85" s="34" t="s">
        <v>324</v>
      </c>
      <c r="L85" s="30"/>
    </row>
    <row r="86" spans="1:12" s="119" customFormat="1" ht="14.25" customHeight="1">
      <c r="A86" s="132" t="s">
        <v>344</v>
      </c>
      <c r="B86" s="232"/>
      <c r="C86" s="234"/>
      <c r="D86" s="225" t="s">
        <v>738</v>
      </c>
      <c r="E86" s="152" t="s">
        <v>726</v>
      </c>
      <c r="F86" s="155"/>
      <c r="G86" s="305"/>
      <c r="H86" s="192" t="s">
        <v>154</v>
      </c>
      <c r="I86" s="27" t="str">
        <f t="shared" si="7"/>
        <v>x</v>
      </c>
      <c r="J86" s="29"/>
      <c r="K86" s="34" t="s">
        <v>324</v>
      </c>
      <c r="L86" s="30"/>
    </row>
    <row r="87" spans="1:12" s="119" customFormat="1" ht="14.25" customHeight="1">
      <c r="A87" s="132" t="s">
        <v>508</v>
      </c>
      <c r="B87" s="232"/>
      <c r="C87" s="234"/>
      <c r="D87" s="225" t="s">
        <v>738</v>
      </c>
      <c r="E87" s="196" t="s">
        <v>338</v>
      </c>
      <c r="F87" s="266"/>
      <c r="G87" s="305"/>
      <c r="H87" s="192" t="s">
        <v>155</v>
      </c>
      <c r="I87" s="27" t="str">
        <f t="shared" si="7"/>
        <v>x</v>
      </c>
      <c r="J87" s="29"/>
      <c r="K87" s="34" t="s">
        <v>324</v>
      </c>
      <c r="L87" s="30"/>
    </row>
    <row r="88" spans="1:12" s="119" customFormat="1" ht="14.25" customHeight="1">
      <c r="A88" s="132" t="s">
        <v>468</v>
      </c>
      <c r="B88" s="232"/>
      <c r="C88" s="234"/>
      <c r="D88" s="235" t="str">
        <f>IF(D87&lt;&gt;"",D87,"")</f>
        <v>x</v>
      </c>
      <c r="E88" s="196" t="s">
        <v>338</v>
      </c>
      <c r="F88" s="266"/>
      <c r="G88" s="305"/>
      <c r="H88" s="192" t="s">
        <v>528</v>
      </c>
      <c r="I88" s="27" t="str">
        <f t="shared" si="7"/>
        <v>x</v>
      </c>
      <c r="J88" s="29"/>
      <c r="K88" s="34" t="s">
        <v>324</v>
      </c>
      <c r="L88" s="30"/>
    </row>
    <row r="89" spans="1:12" s="119" customFormat="1" ht="14.25" customHeight="1">
      <c r="A89" s="132" t="s">
        <v>507</v>
      </c>
      <c r="B89" s="232"/>
      <c r="C89" s="234"/>
      <c r="D89" s="225" t="s">
        <v>738</v>
      </c>
      <c r="E89" s="196" t="s">
        <v>338</v>
      </c>
      <c r="F89" s="266"/>
      <c r="G89" s="305"/>
      <c r="H89" s="192" t="s">
        <v>156</v>
      </c>
      <c r="I89" s="27" t="str">
        <f t="shared" si="7"/>
        <v>x</v>
      </c>
      <c r="J89" s="29"/>
      <c r="K89" s="34" t="s">
        <v>324</v>
      </c>
      <c r="L89" s="30"/>
    </row>
    <row r="90" spans="1:12" s="119" customFormat="1" ht="14.25" customHeight="1">
      <c r="A90" s="132" t="s">
        <v>469</v>
      </c>
      <c r="B90" s="232"/>
      <c r="C90" s="234"/>
      <c r="D90" s="235" t="str">
        <f>IF(D89&lt;&gt;"",D89,"")</f>
        <v>x</v>
      </c>
      <c r="E90" s="196" t="s">
        <v>338</v>
      </c>
      <c r="F90" s="266"/>
      <c r="G90" s="305"/>
      <c r="H90" s="192" t="s">
        <v>529</v>
      </c>
      <c r="I90" s="27" t="str">
        <f t="shared" si="7"/>
        <v>x</v>
      </c>
      <c r="J90" s="29"/>
      <c r="K90" s="34" t="s">
        <v>324</v>
      </c>
      <c r="L90" s="30"/>
    </row>
    <row r="91" spans="1:12" s="119" customFormat="1" ht="14.25" customHeight="1">
      <c r="A91" s="132" t="s">
        <v>506</v>
      </c>
      <c r="B91" s="232"/>
      <c r="C91" s="234"/>
      <c r="D91" s="225" t="s">
        <v>738</v>
      </c>
      <c r="E91" s="196" t="s">
        <v>338</v>
      </c>
      <c r="F91" s="266"/>
      <c r="G91" s="305"/>
      <c r="H91" s="192" t="s">
        <v>157</v>
      </c>
      <c r="I91" s="27" t="str">
        <f t="shared" si="7"/>
        <v>x</v>
      </c>
      <c r="J91" s="29"/>
      <c r="K91" s="34" t="s">
        <v>324</v>
      </c>
      <c r="L91" s="30"/>
    </row>
    <row r="92" spans="1:12" s="119" customFormat="1" ht="14.25" customHeight="1">
      <c r="A92" s="238" t="s">
        <v>470</v>
      </c>
      <c r="B92" s="232"/>
      <c r="C92" s="234"/>
      <c r="D92" s="235" t="str">
        <f t="shared" ref="D92:D100" si="8">IF(D91&lt;&gt;"",D91,"")</f>
        <v>x</v>
      </c>
      <c r="E92" s="196" t="s">
        <v>338</v>
      </c>
      <c r="F92" s="266"/>
      <c r="G92" s="305"/>
      <c r="H92" s="192" t="s">
        <v>530</v>
      </c>
      <c r="I92" s="27" t="str">
        <f t="shared" si="7"/>
        <v>x</v>
      </c>
      <c r="J92" s="29"/>
      <c r="K92" s="34" t="s">
        <v>324</v>
      </c>
      <c r="L92" s="30"/>
    </row>
    <row r="93" spans="1:12" s="119" customFormat="1" ht="14.25" customHeight="1">
      <c r="A93" s="132" t="s">
        <v>505</v>
      </c>
      <c r="B93" s="232"/>
      <c r="C93" s="234"/>
      <c r="D93" s="225" t="s">
        <v>738</v>
      </c>
      <c r="E93" s="152" t="s">
        <v>728</v>
      </c>
      <c r="F93" s="155"/>
      <c r="G93" s="305"/>
      <c r="H93" s="192" t="s">
        <v>158</v>
      </c>
      <c r="I93" s="27" t="str">
        <f t="shared" si="7"/>
        <v>x</v>
      </c>
      <c r="J93" s="29"/>
      <c r="K93" s="34" t="s">
        <v>324</v>
      </c>
      <c r="L93" s="30"/>
    </row>
    <row r="94" spans="1:12" s="119" customFormat="1" ht="14.25" customHeight="1">
      <c r="A94" s="132" t="s">
        <v>471</v>
      </c>
      <c r="B94" s="232"/>
      <c r="C94" s="234"/>
      <c r="D94" s="235" t="str">
        <f t="shared" si="8"/>
        <v>x</v>
      </c>
      <c r="E94" s="152" t="s">
        <v>728</v>
      </c>
      <c r="F94" s="155"/>
      <c r="G94" s="305"/>
      <c r="H94" s="192" t="s">
        <v>531</v>
      </c>
      <c r="I94" s="27" t="str">
        <f t="shared" si="7"/>
        <v>x</v>
      </c>
      <c r="J94" s="29"/>
      <c r="K94" s="34" t="s">
        <v>324</v>
      </c>
      <c r="L94" s="30"/>
    </row>
    <row r="95" spans="1:12" s="119" customFormat="1" ht="14.25" customHeight="1">
      <c r="A95" s="132" t="s">
        <v>504</v>
      </c>
      <c r="B95" s="232"/>
      <c r="C95" s="234"/>
      <c r="D95" s="225" t="s">
        <v>738</v>
      </c>
      <c r="E95" s="152" t="s">
        <v>728</v>
      </c>
      <c r="F95" s="155"/>
      <c r="G95" s="305"/>
      <c r="H95" s="192" t="s">
        <v>159</v>
      </c>
      <c r="I95" s="27" t="str">
        <f t="shared" si="7"/>
        <v>x</v>
      </c>
      <c r="J95" s="29"/>
      <c r="K95" s="34" t="s">
        <v>324</v>
      </c>
      <c r="L95" s="30"/>
    </row>
    <row r="96" spans="1:12" s="119" customFormat="1" ht="14.25" customHeight="1">
      <c r="A96" s="132" t="s">
        <v>472</v>
      </c>
      <c r="B96" s="232"/>
      <c r="C96" s="234"/>
      <c r="D96" s="235" t="str">
        <f t="shared" si="8"/>
        <v>x</v>
      </c>
      <c r="E96" s="152" t="s">
        <v>728</v>
      </c>
      <c r="F96" s="155"/>
      <c r="G96" s="305"/>
      <c r="H96" s="192" t="s">
        <v>532</v>
      </c>
      <c r="I96" s="27" t="str">
        <f t="shared" si="7"/>
        <v>x</v>
      </c>
      <c r="J96" s="29"/>
      <c r="K96" s="34" t="s">
        <v>324</v>
      </c>
      <c r="L96" s="30"/>
    </row>
    <row r="97" spans="1:12" s="119" customFormat="1" ht="14.25" customHeight="1">
      <c r="A97" s="132" t="s">
        <v>503</v>
      </c>
      <c r="B97" s="232"/>
      <c r="C97" s="234"/>
      <c r="D97" s="225" t="s">
        <v>738</v>
      </c>
      <c r="E97" s="152" t="s">
        <v>730</v>
      </c>
      <c r="F97" s="155"/>
      <c r="G97" s="305"/>
      <c r="H97" s="192" t="s">
        <v>160</v>
      </c>
      <c r="I97" s="27" t="str">
        <f t="shared" si="7"/>
        <v>x</v>
      </c>
      <c r="J97" s="29"/>
      <c r="K97" s="34" t="s">
        <v>324</v>
      </c>
      <c r="L97" s="30"/>
    </row>
    <row r="98" spans="1:12" s="119" customFormat="1" ht="14.25" customHeight="1">
      <c r="A98" s="132" t="s">
        <v>473</v>
      </c>
      <c r="B98" s="232"/>
      <c r="C98" s="234"/>
      <c r="D98" s="235" t="str">
        <f t="shared" si="8"/>
        <v>x</v>
      </c>
      <c r="E98" s="152" t="s">
        <v>730</v>
      </c>
      <c r="F98" s="155"/>
      <c r="G98" s="305"/>
      <c r="H98" s="192" t="s">
        <v>533</v>
      </c>
      <c r="I98" s="27" t="str">
        <f t="shared" si="7"/>
        <v>x</v>
      </c>
      <c r="J98" s="29"/>
      <c r="K98" s="34" t="s">
        <v>324</v>
      </c>
      <c r="L98" s="30"/>
    </row>
    <row r="99" spans="1:12" s="119" customFormat="1" ht="14.25" customHeight="1">
      <c r="A99" s="132" t="s">
        <v>61</v>
      </c>
      <c r="B99" s="232"/>
      <c r="C99" s="234"/>
      <c r="D99" s="225" t="s">
        <v>738</v>
      </c>
      <c r="E99" s="152" t="s">
        <v>721</v>
      </c>
      <c r="F99" s="155"/>
      <c r="G99" s="305"/>
      <c r="H99" s="192" t="s">
        <v>161</v>
      </c>
      <c r="I99" s="27" t="str">
        <f t="shared" si="7"/>
        <v>x</v>
      </c>
      <c r="J99" s="29"/>
      <c r="K99" s="34" t="s">
        <v>324</v>
      </c>
      <c r="L99" s="30"/>
    </row>
    <row r="100" spans="1:12" s="119" customFormat="1" ht="14.25" customHeight="1">
      <c r="A100" s="132" t="s">
        <v>474</v>
      </c>
      <c r="B100" s="232"/>
      <c r="C100" s="234"/>
      <c r="D100" s="235" t="str">
        <f t="shared" si="8"/>
        <v>x</v>
      </c>
      <c r="E100" s="152" t="s">
        <v>721</v>
      </c>
      <c r="F100" s="155"/>
      <c r="G100" s="305"/>
      <c r="H100" s="192" t="s">
        <v>534</v>
      </c>
      <c r="I100" s="27" t="str">
        <f t="shared" si="7"/>
        <v>x</v>
      </c>
      <c r="J100" s="29"/>
      <c r="K100" s="34" t="s">
        <v>324</v>
      </c>
      <c r="L100" s="30"/>
    </row>
    <row r="101" spans="1:12" s="119" customFormat="1" ht="14.25" customHeight="1">
      <c r="A101" s="132" t="s">
        <v>62</v>
      </c>
      <c r="B101" s="232"/>
      <c r="C101" s="234"/>
      <c r="D101" s="225" t="s">
        <v>738</v>
      </c>
      <c r="E101" s="152" t="s">
        <v>713</v>
      </c>
      <c r="F101" s="155"/>
      <c r="G101" s="305"/>
      <c r="H101" s="192" t="s">
        <v>162</v>
      </c>
      <c r="I101" s="27" t="str">
        <f t="shared" si="7"/>
        <v>x</v>
      </c>
      <c r="J101" s="29"/>
      <c r="K101" s="34" t="s">
        <v>324</v>
      </c>
      <c r="L101" s="30"/>
    </row>
    <row r="102" spans="1:12" s="119" customFormat="1" ht="14.25" customHeight="1">
      <c r="A102" s="132" t="s">
        <v>63</v>
      </c>
      <c r="B102" s="232"/>
      <c r="C102" s="234"/>
      <c r="D102" s="225" t="s">
        <v>738</v>
      </c>
      <c r="E102" s="152" t="s">
        <v>722</v>
      </c>
      <c r="F102" s="155"/>
      <c r="G102" s="305"/>
      <c r="H102" s="192" t="s">
        <v>163</v>
      </c>
      <c r="I102" s="27" t="str">
        <f t="shared" si="7"/>
        <v>x</v>
      </c>
      <c r="J102" s="29"/>
      <c r="K102" s="34" t="s">
        <v>324</v>
      </c>
      <c r="L102" s="30"/>
    </row>
    <row r="103" spans="1:12" s="119" customFormat="1" ht="14.25" customHeight="1">
      <c r="A103" s="132" t="s">
        <v>64</v>
      </c>
      <c r="B103" s="232"/>
      <c r="C103" s="234"/>
      <c r="D103" s="225" t="s">
        <v>738</v>
      </c>
      <c r="E103" s="152" t="s">
        <v>724</v>
      </c>
      <c r="F103" s="155"/>
      <c r="G103" s="305"/>
      <c r="H103" s="192" t="s">
        <v>705</v>
      </c>
      <c r="I103" s="27" t="str">
        <f t="shared" si="7"/>
        <v>x</v>
      </c>
      <c r="J103" s="29"/>
      <c r="K103" s="34" t="s">
        <v>324</v>
      </c>
      <c r="L103" s="30"/>
    </row>
    <row r="104" spans="1:12" s="119" customFormat="1" ht="14.25" customHeight="1">
      <c r="A104" s="132" t="s">
        <v>502</v>
      </c>
      <c r="B104" s="232"/>
      <c r="C104" s="234"/>
      <c r="D104" s="225" t="s">
        <v>738</v>
      </c>
      <c r="E104" s="196" t="s">
        <v>726</v>
      </c>
      <c r="F104" s="266"/>
      <c r="G104" s="305"/>
      <c r="H104" s="192" t="s">
        <v>164</v>
      </c>
      <c r="I104" s="27" t="str">
        <f t="shared" si="7"/>
        <v>x</v>
      </c>
      <c r="J104" s="29"/>
      <c r="K104" s="34" t="s">
        <v>324</v>
      </c>
      <c r="L104" s="30"/>
    </row>
    <row r="105" spans="1:12" s="119" customFormat="1" ht="14.25" customHeight="1">
      <c r="A105" s="132" t="s">
        <v>475</v>
      </c>
      <c r="B105" s="232"/>
      <c r="C105" s="234"/>
      <c r="D105" s="235" t="str">
        <f t="shared" ref="D105" si="9">IF(D104&lt;&gt;"",D104,"")</f>
        <v>x</v>
      </c>
      <c r="E105" s="196" t="s">
        <v>726</v>
      </c>
      <c r="F105" s="266"/>
      <c r="G105" s="305"/>
      <c r="H105" s="192" t="s">
        <v>535</v>
      </c>
      <c r="I105" s="27" t="str">
        <f t="shared" si="7"/>
        <v>x</v>
      </c>
      <c r="J105" s="29"/>
      <c r="K105" s="34" t="s">
        <v>324</v>
      </c>
      <c r="L105" s="30"/>
    </row>
    <row r="106" spans="1:12" s="119" customFormat="1" ht="14.25" customHeight="1">
      <c r="A106" s="132" t="s">
        <v>65</v>
      </c>
      <c r="B106" s="235" t="str">
        <f>B45</f>
        <v>x</v>
      </c>
      <c r="C106" s="234"/>
      <c r="D106" s="225" t="s">
        <v>738</v>
      </c>
      <c r="E106" s="152" t="s">
        <v>724</v>
      </c>
      <c r="F106" s="155"/>
      <c r="G106" s="305"/>
      <c r="H106" s="192" t="s">
        <v>165</v>
      </c>
      <c r="I106" s="27" t="str">
        <f t="shared" si="7"/>
        <v>x</v>
      </c>
      <c r="J106" s="29"/>
      <c r="K106" s="34" t="s">
        <v>324</v>
      </c>
      <c r="L106" s="30"/>
    </row>
    <row r="107" spans="1:12" s="119" customFormat="1" ht="14.25" customHeight="1">
      <c r="A107" s="132" t="s">
        <v>346</v>
      </c>
      <c r="B107" s="235" t="str">
        <f>B45</f>
        <v>x</v>
      </c>
      <c r="C107" s="234"/>
      <c r="D107" s="228" t="str">
        <f>D47</f>
        <v>x</v>
      </c>
      <c r="E107" s="152" t="s">
        <v>724</v>
      </c>
      <c r="F107" s="155"/>
      <c r="G107" s="305"/>
      <c r="H107" s="192" t="s">
        <v>166</v>
      </c>
      <c r="I107" s="27" t="str">
        <f t="shared" si="7"/>
        <v>x</v>
      </c>
      <c r="J107" s="29"/>
      <c r="K107" s="34" t="s">
        <v>324</v>
      </c>
      <c r="L107" s="30"/>
    </row>
    <row r="108" spans="1:12" s="119" customFormat="1" ht="14.25" customHeight="1">
      <c r="A108" s="132" t="s">
        <v>501</v>
      </c>
      <c r="B108" s="232"/>
      <c r="C108" s="234"/>
      <c r="D108" s="225" t="s">
        <v>738</v>
      </c>
      <c r="E108" s="152" t="s">
        <v>726</v>
      </c>
      <c r="F108" s="155"/>
      <c r="G108" s="305"/>
      <c r="H108" s="192" t="s">
        <v>167</v>
      </c>
      <c r="I108" s="27" t="str">
        <f t="shared" si="7"/>
        <v>x</v>
      </c>
      <c r="J108" s="29"/>
      <c r="K108" s="34" t="s">
        <v>324</v>
      </c>
      <c r="L108" s="30"/>
    </row>
    <row r="109" spans="1:12" s="119" customFormat="1" ht="14.25" customHeight="1">
      <c r="A109" s="132" t="s">
        <v>476</v>
      </c>
      <c r="B109" s="232"/>
      <c r="C109" s="234"/>
      <c r="D109" s="235" t="str">
        <f t="shared" ref="D109" si="10">IF(D108&lt;&gt;"",D108,"")</f>
        <v>x</v>
      </c>
      <c r="E109" s="152" t="s">
        <v>726</v>
      </c>
      <c r="F109" s="155"/>
      <c r="G109" s="305"/>
      <c r="H109" s="192" t="s">
        <v>536</v>
      </c>
      <c r="I109" s="27" t="str">
        <f t="shared" si="7"/>
        <v>x</v>
      </c>
      <c r="J109" s="29"/>
      <c r="K109" s="34" t="s">
        <v>324</v>
      </c>
      <c r="L109" s="30"/>
    </row>
    <row r="110" spans="1:12" s="119" customFormat="1" ht="14.25" customHeight="1">
      <c r="A110" s="132" t="s">
        <v>66</v>
      </c>
      <c r="B110" s="232"/>
      <c r="C110" s="234"/>
      <c r="D110" s="225" t="s">
        <v>738</v>
      </c>
      <c r="E110" s="152" t="s">
        <v>728</v>
      </c>
      <c r="F110" s="155"/>
      <c r="G110" s="305"/>
      <c r="H110" s="192" t="s">
        <v>168</v>
      </c>
      <c r="I110" s="27" t="str">
        <f t="shared" si="7"/>
        <v>x</v>
      </c>
      <c r="J110" s="29"/>
      <c r="K110" s="34" t="s">
        <v>324</v>
      </c>
      <c r="L110" s="30"/>
    </row>
    <row r="111" spans="1:12" s="119" customFormat="1" ht="14.25" customHeight="1">
      <c r="A111" s="132" t="s">
        <v>67</v>
      </c>
      <c r="B111" s="232"/>
      <c r="C111" s="234"/>
      <c r="D111" s="225" t="s">
        <v>738</v>
      </c>
      <c r="E111" s="152" t="s">
        <v>726</v>
      </c>
      <c r="F111" s="155"/>
      <c r="G111" s="305"/>
      <c r="H111" s="192" t="s">
        <v>169</v>
      </c>
      <c r="I111" s="27" t="str">
        <f t="shared" si="7"/>
        <v>x</v>
      </c>
      <c r="J111" s="29"/>
      <c r="K111" s="34" t="s">
        <v>324</v>
      </c>
      <c r="L111" s="30"/>
    </row>
    <row r="112" spans="1:12" s="119" customFormat="1" ht="14.25" customHeight="1">
      <c r="A112" s="132" t="s">
        <v>68</v>
      </c>
      <c r="B112" s="232"/>
      <c r="C112" s="234"/>
      <c r="D112" s="225" t="s">
        <v>738</v>
      </c>
      <c r="E112" s="152" t="s">
        <v>719</v>
      </c>
      <c r="F112" s="155"/>
      <c r="G112" s="305"/>
      <c r="H112" s="192" t="s">
        <v>170</v>
      </c>
      <c r="I112" s="27" t="str">
        <f t="shared" ref="I112:I144" si="11">IF(COUNTIF(B112:D112,"x")&gt;0,"x","")</f>
        <v>x</v>
      </c>
      <c r="J112" s="29"/>
      <c r="K112" s="34" t="s">
        <v>324</v>
      </c>
      <c r="L112" s="30"/>
    </row>
    <row r="113" spans="1:12" s="119" customFormat="1" ht="14.25" customHeight="1">
      <c r="A113" s="132" t="s">
        <v>477</v>
      </c>
      <c r="B113" s="232"/>
      <c r="C113" s="234"/>
      <c r="D113" s="235" t="str">
        <f t="shared" ref="D113" si="12">IF(D112&lt;&gt;"",D112,"")</f>
        <v>x</v>
      </c>
      <c r="E113" s="152" t="s">
        <v>719</v>
      </c>
      <c r="F113" s="155"/>
      <c r="G113" s="305"/>
      <c r="H113" s="192" t="s">
        <v>537</v>
      </c>
      <c r="I113" s="27" t="str">
        <f t="shared" si="11"/>
        <v>x</v>
      </c>
      <c r="J113" s="29"/>
      <c r="K113" s="34" t="s">
        <v>324</v>
      </c>
      <c r="L113" s="30"/>
    </row>
    <row r="114" spans="1:12" s="119" customFormat="1" ht="14.25" customHeight="1">
      <c r="A114" s="132" t="s">
        <v>69</v>
      </c>
      <c r="B114" s="232"/>
      <c r="C114" s="234"/>
      <c r="D114" s="225" t="s">
        <v>738</v>
      </c>
      <c r="E114" s="152" t="s">
        <v>719</v>
      </c>
      <c r="F114" s="155"/>
      <c r="G114" s="305"/>
      <c r="H114" s="192" t="s">
        <v>171</v>
      </c>
      <c r="I114" s="27" t="str">
        <f t="shared" si="11"/>
        <v>x</v>
      </c>
      <c r="J114" s="29"/>
      <c r="K114" s="34" t="s">
        <v>324</v>
      </c>
      <c r="L114" s="30"/>
    </row>
    <row r="115" spans="1:12" s="119" customFormat="1" ht="14.25" customHeight="1">
      <c r="A115" s="132" t="s">
        <v>478</v>
      </c>
      <c r="B115" s="232"/>
      <c r="C115" s="234"/>
      <c r="D115" s="235" t="str">
        <f t="shared" ref="D115:D131" si="13">IF(D114&lt;&gt;"",D114,"")</f>
        <v>x</v>
      </c>
      <c r="E115" s="152" t="s">
        <v>719</v>
      </c>
      <c r="F115" s="155"/>
      <c r="G115" s="305"/>
      <c r="H115" s="192" t="s">
        <v>538</v>
      </c>
      <c r="I115" s="27" t="str">
        <f t="shared" si="11"/>
        <v>x</v>
      </c>
      <c r="J115" s="29"/>
      <c r="K115" s="34" t="s">
        <v>324</v>
      </c>
      <c r="L115" s="30"/>
    </row>
    <row r="116" spans="1:12" s="119" customFormat="1" ht="14.25" customHeight="1">
      <c r="A116" s="132" t="s">
        <v>500</v>
      </c>
      <c r="B116" s="232"/>
      <c r="C116" s="234"/>
      <c r="D116" s="225" t="s">
        <v>738</v>
      </c>
      <c r="E116" s="152" t="s">
        <v>725</v>
      </c>
      <c r="F116" s="155"/>
      <c r="G116" s="305"/>
      <c r="H116" s="192" t="s">
        <v>172</v>
      </c>
      <c r="I116" s="27" t="str">
        <f t="shared" si="11"/>
        <v>x</v>
      </c>
      <c r="J116" s="29"/>
      <c r="K116" s="34" t="s">
        <v>324</v>
      </c>
      <c r="L116" s="30"/>
    </row>
    <row r="117" spans="1:12" s="119" customFormat="1" ht="14.25" customHeight="1">
      <c r="A117" s="132" t="s">
        <v>479</v>
      </c>
      <c r="B117" s="232"/>
      <c r="C117" s="234"/>
      <c r="D117" s="235" t="str">
        <f t="shared" si="13"/>
        <v>x</v>
      </c>
      <c r="E117" s="152" t="s">
        <v>725</v>
      </c>
      <c r="F117" s="155"/>
      <c r="G117" s="305"/>
      <c r="H117" s="192" t="s">
        <v>539</v>
      </c>
      <c r="I117" s="27" t="str">
        <f t="shared" si="11"/>
        <v>x</v>
      </c>
      <c r="J117" s="29"/>
      <c r="K117" s="34" t="s">
        <v>324</v>
      </c>
      <c r="L117" s="30"/>
    </row>
    <row r="118" spans="1:12" s="119" customFormat="1" ht="14.25" customHeight="1">
      <c r="A118" s="132" t="s">
        <v>499</v>
      </c>
      <c r="B118" s="232"/>
      <c r="C118" s="234"/>
      <c r="D118" s="225" t="s">
        <v>738</v>
      </c>
      <c r="E118" s="239" t="s">
        <v>719</v>
      </c>
      <c r="F118" s="269"/>
      <c r="G118" s="305"/>
      <c r="H118" s="192" t="s">
        <v>173</v>
      </c>
      <c r="I118" s="27" t="str">
        <f t="shared" si="11"/>
        <v>x</v>
      </c>
      <c r="J118" s="29"/>
      <c r="K118" s="34" t="s">
        <v>324</v>
      </c>
      <c r="L118" s="30"/>
    </row>
    <row r="119" spans="1:12" s="119" customFormat="1" ht="14.25" customHeight="1">
      <c r="A119" s="132" t="s">
        <v>480</v>
      </c>
      <c r="B119" s="232"/>
      <c r="C119" s="234"/>
      <c r="D119" s="235" t="str">
        <f t="shared" si="13"/>
        <v>x</v>
      </c>
      <c r="E119" s="239" t="s">
        <v>719</v>
      </c>
      <c r="F119" s="269"/>
      <c r="G119" s="305"/>
      <c r="H119" s="192" t="s">
        <v>540</v>
      </c>
      <c r="I119" s="27" t="str">
        <f t="shared" si="11"/>
        <v>x</v>
      </c>
      <c r="J119" s="29"/>
      <c r="K119" s="34" t="s">
        <v>324</v>
      </c>
      <c r="L119" s="30"/>
    </row>
    <row r="120" spans="1:12" s="119" customFormat="1" ht="14.25" customHeight="1">
      <c r="A120" s="132" t="s">
        <v>498</v>
      </c>
      <c r="B120" s="232"/>
      <c r="C120" s="234"/>
      <c r="D120" s="225" t="s">
        <v>738</v>
      </c>
      <c r="E120" s="240" t="s">
        <v>339</v>
      </c>
      <c r="F120" s="270"/>
      <c r="G120" s="305"/>
      <c r="H120" s="192" t="s">
        <v>174</v>
      </c>
      <c r="I120" s="27" t="str">
        <f t="shared" si="11"/>
        <v>x</v>
      </c>
      <c r="J120" s="29"/>
      <c r="K120" s="34" t="s">
        <v>324</v>
      </c>
      <c r="L120" s="30"/>
    </row>
    <row r="121" spans="1:12" s="119" customFormat="1" ht="14.25" customHeight="1">
      <c r="A121" s="132" t="s">
        <v>481</v>
      </c>
      <c r="B121" s="232"/>
      <c r="C121" s="234"/>
      <c r="D121" s="235" t="str">
        <f t="shared" si="13"/>
        <v>x</v>
      </c>
      <c r="E121" s="240" t="s">
        <v>339</v>
      </c>
      <c r="F121" s="270"/>
      <c r="G121" s="305"/>
      <c r="H121" s="192" t="s">
        <v>541</v>
      </c>
      <c r="I121" s="27" t="str">
        <f t="shared" si="11"/>
        <v>x</v>
      </c>
      <c r="J121" s="29"/>
      <c r="K121" s="34" t="s">
        <v>324</v>
      </c>
      <c r="L121" s="30"/>
    </row>
    <row r="122" spans="1:12" s="119" customFormat="1" ht="14.25" customHeight="1">
      <c r="A122" s="132" t="s">
        <v>497</v>
      </c>
      <c r="B122" s="232"/>
      <c r="C122" s="234"/>
      <c r="D122" s="225" t="s">
        <v>738</v>
      </c>
      <c r="E122" s="196" t="s">
        <v>340</v>
      </c>
      <c r="F122" s="266"/>
      <c r="G122" s="305"/>
      <c r="H122" s="192" t="s">
        <v>175</v>
      </c>
      <c r="I122" s="27" t="str">
        <f t="shared" si="11"/>
        <v>x</v>
      </c>
      <c r="J122" s="29"/>
      <c r="K122" s="34" t="s">
        <v>324</v>
      </c>
      <c r="L122" s="30"/>
    </row>
    <row r="123" spans="1:12" s="119" customFormat="1" ht="14.25" customHeight="1">
      <c r="A123" s="132" t="s">
        <v>482</v>
      </c>
      <c r="B123" s="232"/>
      <c r="C123" s="234"/>
      <c r="D123" s="235" t="str">
        <f t="shared" si="13"/>
        <v>x</v>
      </c>
      <c r="E123" s="196" t="s">
        <v>340</v>
      </c>
      <c r="F123" s="266"/>
      <c r="G123" s="305"/>
      <c r="H123" s="192" t="s">
        <v>542</v>
      </c>
      <c r="I123" s="27" t="str">
        <f t="shared" si="11"/>
        <v>x</v>
      </c>
      <c r="J123" s="29"/>
      <c r="K123" s="34" t="s">
        <v>324</v>
      </c>
      <c r="L123" s="30"/>
    </row>
    <row r="124" spans="1:12" s="119" customFormat="1" ht="14.25" customHeight="1">
      <c r="A124" s="132" t="s">
        <v>496</v>
      </c>
      <c r="B124" s="232"/>
      <c r="C124" s="234"/>
      <c r="D124" s="225" t="s">
        <v>738</v>
      </c>
      <c r="E124" s="196" t="s">
        <v>709</v>
      </c>
      <c r="F124" s="266"/>
      <c r="G124" s="305"/>
      <c r="H124" s="192" t="s">
        <v>177</v>
      </c>
      <c r="I124" s="27" t="str">
        <f t="shared" si="11"/>
        <v>x</v>
      </c>
      <c r="J124" s="29"/>
      <c r="K124" s="34" t="s">
        <v>324</v>
      </c>
      <c r="L124" s="30"/>
    </row>
    <row r="125" spans="1:12" s="119" customFormat="1" ht="14.25" customHeight="1">
      <c r="A125" s="238" t="s">
        <v>483</v>
      </c>
      <c r="B125" s="232"/>
      <c r="C125" s="234"/>
      <c r="D125" s="235" t="str">
        <f t="shared" si="13"/>
        <v>x</v>
      </c>
      <c r="E125" s="196" t="s">
        <v>709</v>
      </c>
      <c r="F125" s="266"/>
      <c r="G125" s="305"/>
      <c r="H125" s="192" t="s">
        <v>543</v>
      </c>
      <c r="I125" s="27" t="str">
        <f t="shared" si="11"/>
        <v>x</v>
      </c>
      <c r="J125" s="29"/>
      <c r="K125" s="34" t="s">
        <v>324</v>
      </c>
      <c r="L125" s="30"/>
    </row>
    <row r="126" spans="1:12" s="119" customFormat="1" ht="14.25" customHeight="1">
      <c r="A126" s="132" t="s">
        <v>495</v>
      </c>
      <c r="B126" s="232"/>
      <c r="C126" s="234"/>
      <c r="D126" s="225" t="s">
        <v>738</v>
      </c>
      <c r="E126" s="196" t="s">
        <v>713</v>
      </c>
      <c r="F126" s="266"/>
      <c r="G126" s="305"/>
      <c r="H126" s="192" t="s">
        <v>178</v>
      </c>
      <c r="I126" s="27" t="str">
        <f t="shared" si="11"/>
        <v>x</v>
      </c>
      <c r="J126" s="23" t="s">
        <v>390</v>
      </c>
      <c r="K126" s="34" t="s">
        <v>324</v>
      </c>
      <c r="L126" s="30"/>
    </row>
    <row r="127" spans="1:12" s="119" customFormat="1" ht="14.25" customHeight="1">
      <c r="A127" s="132" t="s">
        <v>484</v>
      </c>
      <c r="B127" s="232"/>
      <c r="C127" s="234"/>
      <c r="D127" s="235" t="str">
        <f t="shared" si="13"/>
        <v>x</v>
      </c>
      <c r="E127" s="196" t="s">
        <v>713</v>
      </c>
      <c r="F127" s="266"/>
      <c r="G127" s="305"/>
      <c r="H127" s="192" t="s">
        <v>544</v>
      </c>
      <c r="I127" s="27" t="str">
        <f t="shared" si="11"/>
        <v>x</v>
      </c>
      <c r="J127" s="29"/>
      <c r="K127" s="34" t="s">
        <v>324</v>
      </c>
      <c r="L127" s="30"/>
    </row>
    <row r="128" spans="1:12" s="119" customFormat="1" ht="14.25" customHeight="1">
      <c r="A128" s="132" t="s">
        <v>392</v>
      </c>
      <c r="B128" s="232"/>
      <c r="C128" s="234"/>
      <c r="D128" s="225" t="s">
        <v>738</v>
      </c>
      <c r="E128" s="196" t="s">
        <v>724</v>
      </c>
      <c r="F128" s="266"/>
      <c r="G128" s="305"/>
      <c r="H128" s="192" t="s">
        <v>179</v>
      </c>
      <c r="I128" s="27" t="str">
        <f t="shared" si="11"/>
        <v>x</v>
      </c>
      <c r="J128" s="23" t="s">
        <v>390</v>
      </c>
      <c r="K128" s="34" t="s">
        <v>324</v>
      </c>
      <c r="L128" s="30"/>
    </row>
    <row r="129" spans="1:12" s="119" customFormat="1" ht="14.25" customHeight="1">
      <c r="A129" s="132" t="s">
        <v>485</v>
      </c>
      <c r="B129" s="232"/>
      <c r="C129" s="234"/>
      <c r="D129" s="235" t="str">
        <f t="shared" si="13"/>
        <v>x</v>
      </c>
      <c r="E129" s="196" t="s">
        <v>724</v>
      </c>
      <c r="F129" s="266"/>
      <c r="G129" s="305"/>
      <c r="H129" s="192" t="s">
        <v>545</v>
      </c>
      <c r="I129" s="27" t="str">
        <f t="shared" si="11"/>
        <v>x</v>
      </c>
      <c r="J129" s="29"/>
      <c r="K129" s="34" t="s">
        <v>324</v>
      </c>
      <c r="L129" s="30"/>
    </row>
    <row r="130" spans="1:12" s="119" customFormat="1" ht="14.25" customHeight="1">
      <c r="A130" s="132" t="s">
        <v>494</v>
      </c>
      <c r="B130" s="232"/>
      <c r="C130" s="234"/>
      <c r="D130" s="225" t="s">
        <v>738</v>
      </c>
      <c r="E130" s="152" t="s">
        <v>341</v>
      </c>
      <c r="F130" s="155"/>
      <c r="G130" s="305"/>
      <c r="H130" s="192" t="s">
        <v>180</v>
      </c>
      <c r="I130" s="27" t="str">
        <f t="shared" si="11"/>
        <v>x</v>
      </c>
      <c r="J130" s="23" t="s">
        <v>390</v>
      </c>
      <c r="K130" s="34" t="s">
        <v>324</v>
      </c>
      <c r="L130" s="30"/>
    </row>
    <row r="131" spans="1:12" s="119" customFormat="1" ht="14.25" customHeight="1">
      <c r="A131" s="132" t="s">
        <v>486</v>
      </c>
      <c r="B131" s="232"/>
      <c r="C131" s="234"/>
      <c r="D131" s="235" t="str">
        <f t="shared" si="13"/>
        <v>x</v>
      </c>
      <c r="E131" s="152" t="s">
        <v>341</v>
      </c>
      <c r="F131" s="155"/>
      <c r="G131" s="305"/>
      <c r="H131" s="192" t="s">
        <v>546</v>
      </c>
      <c r="I131" s="27" t="str">
        <f t="shared" si="11"/>
        <v>x</v>
      </c>
      <c r="J131" s="29"/>
      <c r="K131" s="34" t="s">
        <v>324</v>
      </c>
      <c r="L131" s="30"/>
    </row>
    <row r="132" spans="1:12" s="119" customFormat="1" ht="14.25" customHeight="1">
      <c r="A132" s="132" t="s">
        <v>397</v>
      </c>
      <c r="B132" s="232"/>
      <c r="C132" s="234"/>
      <c r="D132" s="225" t="s">
        <v>738</v>
      </c>
      <c r="E132" s="152" t="s">
        <v>722</v>
      </c>
      <c r="F132" s="155"/>
      <c r="G132" s="305"/>
      <c r="H132" s="192" t="s">
        <v>398</v>
      </c>
      <c r="I132" s="27" t="str">
        <f t="shared" si="11"/>
        <v>x</v>
      </c>
      <c r="J132" s="29"/>
      <c r="K132" s="34" t="s">
        <v>324</v>
      </c>
      <c r="L132" s="30"/>
    </row>
    <row r="133" spans="1:12" s="119" customFormat="1" ht="14.25" customHeight="1">
      <c r="A133" s="132" t="s">
        <v>200</v>
      </c>
      <c r="B133" s="232"/>
      <c r="C133" s="234"/>
      <c r="D133" s="228" t="str">
        <f>D47</f>
        <v>x</v>
      </c>
      <c r="E133" s="152" t="s">
        <v>722</v>
      </c>
      <c r="F133" s="275" t="s">
        <v>692</v>
      </c>
      <c r="G133" s="305"/>
      <c r="H133" s="192" t="s">
        <v>201</v>
      </c>
      <c r="I133" s="27" t="str">
        <f t="shared" si="11"/>
        <v>x</v>
      </c>
      <c r="J133" s="23" t="s">
        <v>606</v>
      </c>
      <c r="K133" s="34" t="s">
        <v>324</v>
      </c>
      <c r="L133" s="30"/>
    </row>
    <row r="134" spans="1:12" s="119" customFormat="1" ht="14.25" customHeight="1">
      <c r="A134" s="132" t="s">
        <v>181</v>
      </c>
      <c r="B134" s="232"/>
      <c r="C134" s="234"/>
      <c r="D134" s="225" t="s">
        <v>738</v>
      </c>
      <c r="E134" s="152" t="s">
        <v>708</v>
      </c>
      <c r="F134" s="155"/>
      <c r="G134" s="305"/>
      <c r="H134" s="192" t="s">
        <v>182</v>
      </c>
      <c r="I134" s="27" t="str">
        <f t="shared" si="11"/>
        <v>x</v>
      </c>
      <c r="J134" s="29"/>
      <c r="K134" s="34" t="s">
        <v>324</v>
      </c>
      <c r="L134" s="30"/>
    </row>
    <row r="135" spans="1:12" s="119" customFormat="1" ht="14.25" customHeight="1">
      <c r="A135" s="132" t="s">
        <v>382</v>
      </c>
      <c r="B135" s="232"/>
      <c r="C135" s="234"/>
      <c r="D135" s="225" t="s">
        <v>738</v>
      </c>
      <c r="E135" s="152" t="s">
        <v>717</v>
      </c>
      <c r="F135" s="155"/>
      <c r="G135" s="305"/>
      <c r="H135" s="192" t="s">
        <v>183</v>
      </c>
      <c r="I135" s="27" t="str">
        <f t="shared" si="11"/>
        <v>x</v>
      </c>
      <c r="J135" s="29"/>
      <c r="K135" s="34" t="s">
        <v>324</v>
      </c>
      <c r="L135" s="30"/>
    </row>
    <row r="136" spans="1:12" s="119" customFormat="1" ht="14.25" customHeight="1">
      <c r="A136" s="132" t="s">
        <v>487</v>
      </c>
      <c r="B136" s="232"/>
      <c r="C136" s="234"/>
      <c r="D136" s="235" t="str">
        <f t="shared" ref="D136" si="14">IF(D135&lt;&gt;"",D135,"")</f>
        <v>x</v>
      </c>
      <c r="E136" s="152" t="s">
        <v>717</v>
      </c>
      <c r="F136" s="155"/>
      <c r="G136" s="305"/>
      <c r="H136" s="192" t="s">
        <v>547</v>
      </c>
      <c r="I136" s="27" t="str">
        <f t="shared" si="11"/>
        <v>x</v>
      </c>
      <c r="J136" s="29"/>
      <c r="K136" s="34" t="s">
        <v>324</v>
      </c>
      <c r="L136" s="30"/>
    </row>
    <row r="137" spans="1:12" s="119" customFormat="1" ht="14.25" customHeight="1">
      <c r="A137" s="132" t="s">
        <v>493</v>
      </c>
      <c r="B137" s="232"/>
      <c r="C137" s="234"/>
      <c r="D137" s="225" t="s">
        <v>738</v>
      </c>
      <c r="E137" s="152" t="s">
        <v>717</v>
      </c>
      <c r="F137" s="155"/>
      <c r="G137" s="305"/>
      <c r="H137" s="192" t="s">
        <v>184</v>
      </c>
      <c r="I137" s="27" t="str">
        <f t="shared" si="11"/>
        <v>x</v>
      </c>
      <c r="J137" s="29"/>
      <c r="K137" s="34" t="s">
        <v>324</v>
      </c>
      <c r="L137" s="30"/>
    </row>
    <row r="138" spans="1:12" s="119" customFormat="1" ht="14.25" customHeight="1">
      <c r="A138" s="132" t="s">
        <v>488</v>
      </c>
      <c r="B138" s="232"/>
      <c r="C138" s="234"/>
      <c r="D138" s="235" t="str">
        <f t="shared" ref="D138:D141" si="15">IF(D137&lt;&gt;"",D137,"")</f>
        <v>x</v>
      </c>
      <c r="E138" s="152" t="s">
        <v>717</v>
      </c>
      <c r="F138" s="155"/>
      <c r="G138" s="305"/>
      <c r="H138" s="192" t="s">
        <v>548</v>
      </c>
      <c r="I138" s="27" t="str">
        <f t="shared" si="11"/>
        <v>x</v>
      </c>
      <c r="J138" s="29"/>
      <c r="K138" s="34" t="s">
        <v>324</v>
      </c>
      <c r="L138" s="30"/>
    </row>
    <row r="139" spans="1:12" s="119" customFormat="1" ht="14.25" customHeight="1">
      <c r="A139" s="132" t="s">
        <v>70</v>
      </c>
      <c r="B139" s="232"/>
      <c r="C139" s="234"/>
      <c r="D139" s="225" t="s">
        <v>738</v>
      </c>
      <c r="E139" s="152" t="s">
        <v>723</v>
      </c>
      <c r="F139" s="155"/>
      <c r="G139" s="305"/>
      <c r="H139" s="192" t="s">
        <v>185</v>
      </c>
      <c r="I139" s="27" t="str">
        <f t="shared" si="11"/>
        <v>x</v>
      </c>
      <c r="J139" s="29"/>
      <c r="K139" s="34" t="s">
        <v>324</v>
      </c>
      <c r="L139" s="30"/>
    </row>
    <row r="140" spans="1:12" s="119" customFormat="1" ht="14.25" customHeight="1">
      <c r="A140" s="132" t="s">
        <v>492</v>
      </c>
      <c r="B140" s="232"/>
      <c r="C140" s="234"/>
      <c r="D140" s="225" t="s">
        <v>738</v>
      </c>
      <c r="E140" s="196" t="s">
        <v>708</v>
      </c>
      <c r="F140" s="266"/>
      <c r="G140" s="305"/>
      <c r="H140" s="192" t="s">
        <v>186</v>
      </c>
      <c r="I140" s="27" t="str">
        <f t="shared" si="11"/>
        <v>x</v>
      </c>
      <c r="J140" s="29"/>
      <c r="K140" s="34" t="s">
        <v>324</v>
      </c>
      <c r="L140" s="30"/>
    </row>
    <row r="141" spans="1:12" s="119" customFormat="1" ht="14.25" customHeight="1">
      <c r="A141" s="238" t="s">
        <v>489</v>
      </c>
      <c r="B141" s="232"/>
      <c r="C141" s="234"/>
      <c r="D141" s="235" t="str">
        <f t="shared" si="15"/>
        <v>x</v>
      </c>
      <c r="E141" s="196" t="s">
        <v>708</v>
      </c>
      <c r="F141" s="266"/>
      <c r="G141" s="305"/>
      <c r="H141" s="192" t="s">
        <v>549</v>
      </c>
      <c r="I141" s="27" t="str">
        <f t="shared" si="11"/>
        <v>x</v>
      </c>
      <c r="J141" s="29"/>
      <c r="K141" s="34" t="s">
        <v>324</v>
      </c>
      <c r="L141" s="30"/>
    </row>
    <row r="142" spans="1:12" s="119" customFormat="1" ht="14.25" customHeight="1">
      <c r="A142" s="132" t="s">
        <v>491</v>
      </c>
      <c r="B142" s="232"/>
      <c r="C142" s="234"/>
      <c r="D142" s="225" t="s">
        <v>738</v>
      </c>
      <c r="E142" s="152" t="s">
        <v>708</v>
      </c>
      <c r="F142" s="155"/>
      <c r="G142" s="305"/>
      <c r="H142" s="192" t="s">
        <v>187</v>
      </c>
      <c r="I142" s="27" t="str">
        <f t="shared" si="11"/>
        <v>x</v>
      </c>
      <c r="J142" s="29"/>
      <c r="K142" s="34" t="s">
        <v>324</v>
      </c>
      <c r="L142" s="30"/>
    </row>
    <row r="143" spans="1:12" s="119" customFormat="1" ht="14.25" customHeight="1">
      <c r="A143" s="132" t="s">
        <v>490</v>
      </c>
      <c r="B143" s="232"/>
      <c r="C143" s="234"/>
      <c r="D143" s="235" t="str">
        <f t="shared" ref="D143" si="16">IF(D142&lt;&gt;"",D142,"")</f>
        <v>x</v>
      </c>
      <c r="E143" s="152" t="s">
        <v>708</v>
      </c>
      <c r="F143" s="155"/>
      <c r="G143" s="241"/>
      <c r="H143" s="192" t="s">
        <v>550</v>
      </c>
      <c r="I143" s="27" t="str">
        <f t="shared" si="11"/>
        <v>x</v>
      </c>
      <c r="J143" s="29"/>
      <c r="K143" s="34" t="s">
        <v>324</v>
      </c>
      <c r="L143" s="30"/>
    </row>
    <row r="144" spans="1:12" s="119" customFormat="1" ht="14.25" customHeight="1">
      <c r="A144" s="132" t="s">
        <v>399</v>
      </c>
      <c r="B144" s="232"/>
      <c r="C144" s="234"/>
      <c r="D144" s="225" t="s">
        <v>738</v>
      </c>
      <c r="E144" s="133" t="s">
        <v>709</v>
      </c>
      <c r="F144" s="155"/>
      <c r="G144" s="242"/>
      <c r="H144" s="243" t="s">
        <v>400</v>
      </c>
      <c r="I144" s="27" t="str">
        <f t="shared" si="11"/>
        <v>x</v>
      </c>
      <c r="J144" s="29"/>
      <c r="K144" s="34" t="s">
        <v>324</v>
      </c>
      <c r="L144" s="30"/>
    </row>
    <row r="145" spans="1:12" s="119" customFormat="1">
      <c r="A145" s="207"/>
      <c r="B145" s="193"/>
      <c r="C145" s="193"/>
      <c r="D145" s="134"/>
      <c r="E145" s="133"/>
      <c r="F145" s="155"/>
      <c r="G145" s="155"/>
      <c r="H145" s="194"/>
      <c r="I145" s="27"/>
      <c r="J145" s="29"/>
      <c r="K145" s="34"/>
      <c r="L145" s="30"/>
    </row>
    <row r="146" spans="1:12">
      <c r="A146" s="218" t="s">
        <v>425</v>
      </c>
      <c r="B146" s="211"/>
      <c r="C146" s="211"/>
      <c r="D146" s="140"/>
      <c r="E146" s="140"/>
      <c r="F146" s="267"/>
      <c r="G146" s="140"/>
      <c r="H146" s="140"/>
      <c r="I146" s="27"/>
      <c r="J146" s="37"/>
      <c r="K146" s="38"/>
      <c r="L146" s="38"/>
    </row>
    <row r="147" spans="1:12">
      <c r="A147" s="210"/>
      <c r="B147" s="211"/>
      <c r="C147" s="211"/>
      <c r="D147" s="140"/>
      <c r="E147" s="140"/>
      <c r="F147" s="267"/>
      <c r="G147" s="140"/>
      <c r="H147" s="140"/>
      <c r="I147" s="27"/>
      <c r="J147" s="37"/>
      <c r="K147" s="38"/>
      <c r="L147" s="38"/>
    </row>
    <row r="148" spans="1:12" ht="14.25" customHeight="1" thickBot="1">
      <c r="A148" s="118"/>
      <c r="B148" s="179"/>
      <c r="C148" s="179"/>
      <c r="D148" s="80"/>
      <c r="E148" s="80"/>
      <c r="F148" s="265"/>
      <c r="G148" s="80"/>
      <c r="H148" s="80"/>
      <c r="I148" s="180" t="str">
        <f>IF(COUNTIF(D149,"x")&gt;0,"x","")</f>
        <v>x</v>
      </c>
      <c r="J148" s="80"/>
      <c r="K148" s="80"/>
      <c r="L148" s="80"/>
    </row>
    <row r="149" spans="1:12" s="114" customFormat="1" ht="21" customHeight="1" thickBot="1">
      <c r="A149" s="244" t="s">
        <v>366</v>
      </c>
      <c r="B149" s="245"/>
      <c r="C149" s="245"/>
      <c r="D149" s="31" t="str">
        <f>IF('Variabelliste - velg tabeller'!C42="","",'Variabelliste - velg tabeller'!C42)</f>
        <v>x</v>
      </c>
      <c r="E149" s="152" t="s">
        <v>719</v>
      </c>
      <c r="F149" s="155"/>
      <c r="G149" s="246"/>
      <c r="H149" s="145"/>
      <c r="I149" s="27" t="str">
        <f>IF(COUNTIF(D150:D181,"x")&gt;0,"x","")</f>
        <v>x</v>
      </c>
      <c r="J149" s="34" t="s">
        <v>605</v>
      </c>
      <c r="K149" s="34" t="s">
        <v>323</v>
      </c>
      <c r="L149" s="30"/>
    </row>
    <row r="150" spans="1:12" s="119" customFormat="1" ht="14.25" customHeight="1">
      <c r="A150" s="207" t="s">
        <v>314</v>
      </c>
      <c r="B150" s="193"/>
      <c r="C150" s="193"/>
      <c r="D150" s="215" t="str">
        <f>D149</f>
        <v>x</v>
      </c>
      <c r="E150" s="152" t="s">
        <v>719</v>
      </c>
      <c r="F150" s="155"/>
      <c r="G150" s="306" t="s">
        <v>350</v>
      </c>
      <c r="H150" s="192" t="s">
        <v>315</v>
      </c>
      <c r="I150" s="27" t="str">
        <f>IF(COUNTIF(D150,"x")&gt;0,"x","")</f>
        <v>x</v>
      </c>
      <c r="J150" s="29"/>
      <c r="K150" s="34" t="s">
        <v>323</v>
      </c>
      <c r="L150" s="30"/>
    </row>
    <row r="151" spans="1:12" s="119" customFormat="1" ht="14.25" customHeight="1">
      <c r="A151" s="207" t="s">
        <v>313</v>
      </c>
      <c r="B151" s="193"/>
      <c r="C151" s="193"/>
      <c r="D151" s="215" t="str">
        <f>D152</f>
        <v>x</v>
      </c>
      <c r="E151" s="152" t="s">
        <v>719</v>
      </c>
      <c r="F151" s="155"/>
      <c r="G151" s="307"/>
      <c r="H151" s="192" t="s">
        <v>188</v>
      </c>
      <c r="I151" s="27" t="str">
        <f>IF(COUNTIF(D151,"x")&gt;0,"x","")</f>
        <v>x</v>
      </c>
      <c r="J151" s="29"/>
      <c r="K151" s="34" t="s">
        <v>323</v>
      </c>
      <c r="L151" s="30"/>
    </row>
    <row r="152" spans="1:12" s="119" customFormat="1" ht="14.25" customHeight="1">
      <c r="A152" s="207" t="s">
        <v>189</v>
      </c>
      <c r="B152" s="193"/>
      <c r="C152" s="193"/>
      <c r="D152" s="215" t="str">
        <f>D149</f>
        <v>x</v>
      </c>
      <c r="E152" s="152" t="s">
        <v>719</v>
      </c>
      <c r="F152" s="155"/>
      <c r="G152" s="307"/>
      <c r="H152" s="192" t="s">
        <v>190</v>
      </c>
      <c r="I152" s="27" t="str">
        <f t="shared" ref="I152:I181" si="17">IF(COUNTIF(D152,"x")&gt;0,"x","")</f>
        <v>x</v>
      </c>
      <c r="J152" s="29"/>
      <c r="K152" s="34" t="s">
        <v>323</v>
      </c>
      <c r="L152" s="30"/>
    </row>
    <row r="153" spans="1:12" s="119" customFormat="1" ht="14.25" customHeight="1">
      <c r="A153" s="207" t="s">
        <v>191</v>
      </c>
      <c r="B153" s="193"/>
      <c r="C153" s="193"/>
      <c r="D153" s="215" t="str">
        <f>D149</f>
        <v>x</v>
      </c>
      <c r="E153" s="152" t="s">
        <v>719</v>
      </c>
      <c r="F153" s="155"/>
      <c r="G153" s="307"/>
      <c r="H153" s="192" t="s">
        <v>192</v>
      </c>
      <c r="I153" s="27" t="str">
        <f t="shared" si="17"/>
        <v>x</v>
      </c>
      <c r="J153" s="29"/>
      <c r="K153" s="34" t="s">
        <v>323</v>
      </c>
      <c r="L153" s="30"/>
    </row>
    <row r="154" spans="1:12" s="119" customFormat="1" ht="14.25" customHeight="1">
      <c r="A154" s="207" t="s">
        <v>193</v>
      </c>
      <c r="B154" s="193"/>
      <c r="C154" s="193"/>
      <c r="D154" s="215" t="str">
        <f>D149</f>
        <v>x</v>
      </c>
      <c r="E154" s="152" t="s">
        <v>719</v>
      </c>
      <c r="F154" s="155"/>
      <c r="G154" s="307"/>
      <c r="H154" s="192" t="s">
        <v>194</v>
      </c>
      <c r="I154" s="27" t="str">
        <f t="shared" si="17"/>
        <v>x</v>
      </c>
      <c r="J154" s="29"/>
      <c r="K154" s="34" t="s">
        <v>323</v>
      </c>
      <c r="L154" s="30"/>
    </row>
    <row r="155" spans="1:12" s="119" customFormat="1" ht="14.25" customHeight="1">
      <c r="A155" s="207" t="s">
        <v>50</v>
      </c>
      <c r="B155" s="193"/>
      <c r="C155" s="193"/>
      <c r="D155" s="215" t="str">
        <f>D149</f>
        <v>x</v>
      </c>
      <c r="E155" s="152" t="s">
        <v>719</v>
      </c>
      <c r="F155" s="155"/>
      <c r="G155" s="307"/>
      <c r="H155" s="192" t="s">
        <v>195</v>
      </c>
      <c r="I155" s="27" t="str">
        <f t="shared" si="17"/>
        <v>x</v>
      </c>
      <c r="J155" s="29"/>
      <c r="K155" s="34" t="s">
        <v>323</v>
      </c>
      <c r="L155" s="30"/>
    </row>
    <row r="156" spans="1:12" s="119" customFormat="1" ht="14.25" customHeight="1">
      <c r="A156" s="207" t="s">
        <v>51</v>
      </c>
      <c r="B156" s="193"/>
      <c r="C156" s="193"/>
      <c r="D156" s="215" t="str">
        <f>D149</f>
        <v>x</v>
      </c>
      <c r="E156" s="152" t="s">
        <v>719</v>
      </c>
      <c r="F156" s="155"/>
      <c r="G156" s="307"/>
      <c r="H156" s="192" t="s">
        <v>196</v>
      </c>
      <c r="I156" s="27" t="str">
        <f t="shared" si="17"/>
        <v>x</v>
      </c>
      <c r="J156" s="29"/>
      <c r="K156" s="34" t="s">
        <v>323</v>
      </c>
      <c r="L156" s="30"/>
    </row>
    <row r="157" spans="1:12" s="119" customFormat="1" ht="14.25" customHeight="1">
      <c r="A157" s="207" t="s">
        <v>52</v>
      </c>
      <c r="B157" s="193"/>
      <c r="C157" s="193"/>
      <c r="D157" s="215" t="str">
        <f>D149</f>
        <v>x</v>
      </c>
      <c r="E157" s="152" t="s">
        <v>719</v>
      </c>
      <c r="F157" s="155"/>
      <c r="G157" s="307"/>
      <c r="H157" s="192" t="s">
        <v>197</v>
      </c>
      <c r="I157" s="27" t="str">
        <f t="shared" si="17"/>
        <v>x</v>
      </c>
      <c r="J157" s="29"/>
      <c r="K157" s="34" t="s">
        <v>323</v>
      </c>
      <c r="L157" s="30"/>
    </row>
    <row r="158" spans="1:12" s="119" customFormat="1" ht="14.25" customHeight="1">
      <c r="A158" s="207" t="s">
        <v>53</v>
      </c>
      <c r="B158" s="193"/>
      <c r="C158" s="193"/>
      <c r="D158" s="215" t="str">
        <f>D149</f>
        <v>x</v>
      </c>
      <c r="E158" s="152" t="s">
        <v>719</v>
      </c>
      <c r="F158" s="155"/>
      <c r="G158" s="307"/>
      <c r="H158" s="192" t="s">
        <v>198</v>
      </c>
      <c r="I158" s="27" t="str">
        <f t="shared" si="17"/>
        <v>x</v>
      </c>
      <c r="J158" s="29"/>
      <c r="K158" s="34" t="s">
        <v>323</v>
      </c>
      <c r="L158" s="30"/>
    </row>
    <row r="159" spans="1:12" s="119" customFormat="1" ht="14.25" customHeight="1">
      <c r="A159" s="207" t="s">
        <v>54</v>
      </c>
      <c r="B159" s="193"/>
      <c r="C159" s="193"/>
      <c r="D159" s="134" t="s">
        <v>738</v>
      </c>
      <c r="E159" s="152" t="s">
        <v>719</v>
      </c>
      <c r="F159" s="155"/>
      <c r="G159" s="307"/>
      <c r="H159" s="192" t="s">
        <v>145</v>
      </c>
      <c r="I159" s="27" t="str">
        <f t="shared" si="17"/>
        <v>x</v>
      </c>
      <c r="J159" s="29"/>
      <c r="K159" s="34" t="s">
        <v>323</v>
      </c>
      <c r="L159" s="30"/>
    </row>
    <row r="160" spans="1:12" s="119" customFormat="1" ht="14.25" customHeight="1">
      <c r="A160" s="207" t="s">
        <v>61</v>
      </c>
      <c r="B160" s="193"/>
      <c r="C160" s="193"/>
      <c r="D160" s="134" t="s">
        <v>738</v>
      </c>
      <c r="E160" s="152" t="s">
        <v>721</v>
      </c>
      <c r="F160" s="155"/>
      <c r="G160" s="307"/>
      <c r="H160" s="192" t="s">
        <v>161</v>
      </c>
      <c r="I160" s="27" t="str">
        <f t="shared" si="17"/>
        <v>x</v>
      </c>
      <c r="J160" s="29"/>
      <c r="K160" s="34" t="s">
        <v>323</v>
      </c>
      <c r="L160" s="30"/>
    </row>
    <row r="161" spans="1:12" s="119" customFormat="1" ht="14.25" customHeight="1">
      <c r="A161" s="207" t="s">
        <v>461</v>
      </c>
      <c r="B161" s="193"/>
      <c r="C161" s="193"/>
      <c r="D161" s="134" t="s">
        <v>738</v>
      </c>
      <c r="E161" s="152" t="s">
        <v>722</v>
      </c>
      <c r="F161" s="155"/>
      <c r="G161" s="307"/>
      <c r="H161" s="192" t="s">
        <v>139</v>
      </c>
      <c r="I161" s="27" t="str">
        <f t="shared" si="17"/>
        <v>x</v>
      </c>
      <c r="J161" s="29"/>
      <c r="K161" s="34" t="s">
        <v>323</v>
      </c>
      <c r="L161" s="30"/>
    </row>
    <row r="162" spans="1:12" s="119" customFormat="1" ht="14.25" customHeight="1">
      <c r="A162" s="207" t="s">
        <v>460</v>
      </c>
      <c r="B162" s="193"/>
      <c r="C162" s="193"/>
      <c r="D162" s="215" t="str">
        <f t="shared" ref="D162:D180" si="18">IF(D161&lt;&gt;"",D161,"")</f>
        <v>x</v>
      </c>
      <c r="E162" s="152" t="s">
        <v>719</v>
      </c>
      <c r="F162" s="155"/>
      <c r="G162" s="307"/>
      <c r="H162" s="192" t="s">
        <v>551</v>
      </c>
      <c r="I162" s="27" t="str">
        <f t="shared" si="17"/>
        <v>x</v>
      </c>
      <c r="J162" s="29"/>
      <c r="K162" s="34" t="s">
        <v>323</v>
      </c>
      <c r="L162" s="30"/>
    </row>
    <row r="163" spans="1:12" s="119" customFormat="1" ht="14.25" customHeight="1">
      <c r="A163" s="207" t="s">
        <v>462</v>
      </c>
      <c r="B163" s="193"/>
      <c r="C163" s="193"/>
      <c r="D163" s="134" t="s">
        <v>738</v>
      </c>
      <c r="E163" s="152" t="s">
        <v>719</v>
      </c>
      <c r="F163" s="155"/>
      <c r="G163" s="307"/>
      <c r="H163" s="192" t="s">
        <v>149</v>
      </c>
      <c r="I163" s="27" t="str">
        <f t="shared" si="17"/>
        <v>x</v>
      </c>
      <c r="J163" s="29"/>
      <c r="K163" s="34" t="s">
        <v>323</v>
      </c>
      <c r="L163" s="30"/>
    </row>
    <row r="164" spans="1:12" s="119" customFormat="1" ht="14.25" customHeight="1">
      <c r="A164" s="207" t="s">
        <v>459</v>
      </c>
      <c r="B164" s="193"/>
      <c r="C164" s="193"/>
      <c r="D164" s="215" t="str">
        <f t="shared" si="18"/>
        <v>x</v>
      </c>
      <c r="E164" s="152" t="s">
        <v>719</v>
      </c>
      <c r="F164" s="155"/>
      <c r="G164" s="307"/>
      <c r="H164" s="192" t="s">
        <v>523</v>
      </c>
      <c r="I164" s="27" t="str">
        <f t="shared" si="17"/>
        <v>x</v>
      </c>
      <c r="J164" s="29"/>
      <c r="K164" s="34" t="s">
        <v>323</v>
      </c>
      <c r="L164" s="30"/>
    </row>
    <row r="165" spans="1:12" s="119" customFormat="1" ht="14.25" customHeight="1">
      <c r="A165" s="207" t="s">
        <v>458</v>
      </c>
      <c r="B165" s="193"/>
      <c r="C165" s="193"/>
      <c r="D165" s="134" t="s">
        <v>738</v>
      </c>
      <c r="E165" s="196" t="s">
        <v>721</v>
      </c>
      <c r="F165" s="266"/>
      <c r="G165" s="307"/>
      <c r="H165" s="192" t="s">
        <v>152</v>
      </c>
      <c r="I165" s="27" t="str">
        <f t="shared" si="17"/>
        <v>x</v>
      </c>
      <c r="J165" s="29"/>
      <c r="K165" s="34" t="s">
        <v>323</v>
      </c>
      <c r="L165" s="30"/>
    </row>
    <row r="166" spans="1:12" s="119" customFormat="1" ht="14.25" customHeight="1">
      <c r="A166" s="207" t="s">
        <v>457</v>
      </c>
      <c r="B166" s="193"/>
      <c r="C166" s="193"/>
      <c r="D166" s="215" t="str">
        <f t="shared" si="18"/>
        <v>x</v>
      </c>
      <c r="E166" s="196" t="s">
        <v>721</v>
      </c>
      <c r="F166" s="266"/>
      <c r="G166" s="307"/>
      <c r="H166" s="192" t="s">
        <v>526</v>
      </c>
      <c r="I166" s="27" t="str">
        <f t="shared" si="17"/>
        <v>x</v>
      </c>
      <c r="J166" s="29"/>
      <c r="K166" s="34" t="s">
        <v>323</v>
      </c>
      <c r="L166" s="30"/>
    </row>
    <row r="167" spans="1:12" s="119" customFormat="1" ht="14.25" customHeight="1">
      <c r="A167" s="207" t="s">
        <v>456</v>
      </c>
      <c r="B167" s="193"/>
      <c r="C167" s="193"/>
      <c r="D167" s="134" t="s">
        <v>738</v>
      </c>
      <c r="E167" s="152" t="s">
        <v>719</v>
      </c>
      <c r="F167" s="155"/>
      <c r="G167" s="307"/>
      <c r="H167" s="192" t="s">
        <v>202</v>
      </c>
      <c r="I167" s="27" t="str">
        <f t="shared" si="17"/>
        <v>x</v>
      </c>
      <c r="J167" s="29"/>
      <c r="K167" s="34" t="s">
        <v>323</v>
      </c>
      <c r="L167" s="30"/>
    </row>
    <row r="168" spans="1:12" s="119" customFormat="1" ht="14.25" customHeight="1">
      <c r="A168" s="207" t="s">
        <v>455</v>
      </c>
      <c r="B168" s="193"/>
      <c r="C168" s="193"/>
      <c r="D168" s="215" t="str">
        <f t="shared" si="18"/>
        <v>x</v>
      </c>
      <c r="E168" s="152" t="s">
        <v>719</v>
      </c>
      <c r="F168" s="155"/>
      <c r="G168" s="307"/>
      <c r="H168" s="192" t="s">
        <v>552</v>
      </c>
      <c r="I168" s="27" t="str">
        <f t="shared" si="17"/>
        <v>x</v>
      </c>
      <c r="J168" s="29"/>
      <c r="K168" s="34" t="s">
        <v>323</v>
      </c>
      <c r="L168" s="30"/>
    </row>
    <row r="169" spans="1:12" s="119" customFormat="1" ht="14.25" customHeight="1">
      <c r="A169" s="207" t="s">
        <v>453</v>
      </c>
      <c r="B169" s="193"/>
      <c r="C169" s="193"/>
      <c r="D169" s="134" t="s">
        <v>738</v>
      </c>
      <c r="E169" s="152" t="s">
        <v>719</v>
      </c>
      <c r="F169" s="155"/>
      <c r="G169" s="307"/>
      <c r="H169" s="192" t="s">
        <v>203</v>
      </c>
      <c r="I169" s="27" t="str">
        <f t="shared" si="17"/>
        <v>x</v>
      </c>
      <c r="J169" s="29"/>
      <c r="K169" s="34" t="s">
        <v>323</v>
      </c>
      <c r="L169" s="30"/>
    </row>
    <row r="170" spans="1:12" s="119" customFormat="1" ht="14.25" customHeight="1">
      <c r="A170" s="207" t="s">
        <v>452</v>
      </c>
      <c r="B170" s="193"/>
      <c r="C170" s="193"/>
      <c r="D170" s="215" t="str">
        <f t="shared" si="18"/>
        <v>x</v>
      </c>
      <c r="E170" s="152" t="s">
        <v>719</v>
      </c>
      <c r="F170" s="155"/>
      <c r="G170" s="307"/>
      <c r="H170" s="192" t="s">
        <v>553</v>
      </c>
      <c r="I170" s="27" t="str">
        <f t="shared" si="17"/>
        <v>x</v>
      </c>
      <c r="J170" s="29"/>
      <c r="K170" s="34" t="s">
        <v>323</v>
      </c>
      <c r="L170" s="30"/>
    </row>
    <row r="171" spans="1:12" s="119" customFormat="1" ht="14.25" customHeight="1">
      <c r="A171" s="207" t="s">
        <v>454</v>
      </c>
      <c r="B171" s="193"/>
      <c r="C171" s="193"/>
      <c r="D171" s="134" t="s">
        <v>738</v>
      </c>
      <c r="E171" s="152" t="s">
        <v>719</v>
      </c>
      <c r="F171" s="155"/>
      <c r="G171" s="307"/>
      <c r="H171" s="192" t="s">
        <v>204</v>
      </c>
      <c r="I171" s="27" t="str">
        <f t="shared" si="17"/>
        <v>x</v>
      </c>
      <c r="J171" s="29"/>
      <c r="K171" s="34" t="s">
        <v>323</v>
      </c>
      <c r="L171" s="30"/>
    </row>
    <row r="172" spans="1:12" s="119" customFormat="1" ht="14.25" customHeight="1">
      <c r="A172" s="207" t="s">
        <v>451</v>
      </c>
      <c r="B172" s="193"/>
      <c r="C172" s="193"/>
      <c r="D172" s="215" t="str">
        <f t="shared" si="18"/>
        <v>x</v>
      </c>
      <c r="E172" s="152" t="s">
        <v>719</v>
      </c>
      <c r="F172" s="155"/>
      <c r="G172" s="307"/>
      <c r="H172" s="192" t="s">
        <v>554</v>
      </c>
      <c r="I172" s="27" t="str">
        <f t="shared" si="17"/>
        <v>x</v>
      </c>
      <c r="J172" s="29"/>
      <c r="K172" s="34" t="s">
        <v>323</v>
      </c>
      <c r="L172" s="30"/>
    </row>
    <row r="173" spans="1:12" s="119" customFormat="1" ht="14.25" customHeight="1">
      <c r="A173" s="207" t="s">
        <v>450</v>
      </c>
      <c r="B173" s="193"/>
      <c r="C173" s="193"/>
      <c r="D173" s="134" t="s">
        <v>738</v>
      </c>
      <c r="E173" s="152" t="s">
        <v>719</v>
      </c>
      <c r="F173" s="155"/>
      <c r="G173" s="307"/>
      <c r="H173" s="192" t="s">
        <v>205</v>
      </c>
      <c r="I173" s="27" t="str">
        <f t="shared" si="17"/>
        <v>x</v>
      </c>
      <c r="J173" s="29"/>
      <c r="K173" s="34" t="s">
        <v>323</v>
      </c>
      <c r="L173" s="30"/>
    </row>
    <row r="174" spans="1:12" s="119" customFormat="1" ht="14.25" customHeight="1">
      <c r="A174" s="207" t="s">
        <v>449</v>
      </c>
      <c r="B174" s="193"/>
      <c r="C174" s="193"/>
      <c r="D174" s="215" t="str">
        <f t="shared" si="18"/>
        <v>x</v>
      </c>
      <c r="E174" s="152" t="s">
        <v>719</v>
      </c>
      <c r="F174" s="155"/>
      <c r="G174" s="307"/>
      <c r="H174" s="192" t="s">
        <v>555</v>
      </c>
      <c r="I174" s="27" t="str">
        <f t="shared" si="17"/>
        <v>x</v>
      </c>
      <c r="J174" s="29"/>
      <c r="K174" s="34" t="s">
        <v>323</v>
      </c>
      <c r="L174" s="30"/>
    </row>
    <row r="175" spans="1:12" s="119" customFormat="1" ht="14.25" customHeight="1">
      <c r="A175" s="207" t="s">
        <v>448</v>
      </c>
      <c r="B175" s="193"/>
      <c r="C175" s="193"/>
      <c r="D175" s="134" t="s">
        <v>738</v>
      </c>
      <c r="E175" s="152" t="s">
        <v>720</v>
      </c>
      <c r="F175" s="155"/>
      <c r="G175" s="307"/>
      <c r="H175" s="192" t="s">
        <v>206</v>
      </c>
      <c r="I175" s="27" t="str">
        <f t="shared" si="17"/>
        <v>x</v>
      </c>
      <c r="J175" s="29"/>
      <c r="K175" s="34" t="s">
        <v>323</v>
      </c>
      <c r="L175" s="30"/>
    </row>
    <row r="176" spans="1:12" s="119" customFormat="1" ht="14.25" customHeight="1">
      <c r="A176" s="207" t="s">
        <v>447</v>
      </c>
      <c r="B176" s="193"/>
      <c r="C176" s="193"/>
      <c r="D176" s="215" t="str">
        <f t="shared" si="18"/>
        <v>x</v>
      </c>
      <c r="E176" s="152" t="s">
        <v>720</v>
      </c>
      <c r="F176" s="155"/>
      <c r="G176" s="307"/>
      <c r="H176" s="192" t="s">
        <v>556</v>
      </c>
      <c r="I176" s="27" t="str">
        <f t="shared" si="17"/>
        <v>x</v>
      </c>
      <c r="J176" s="29"/>
      <c r="K176" s="34" t="s">
        <v>323</v>
      </c>
      <c r="L176" s="30"/>
    </row>
    <row r="177" spans="1:12" s="119" customFormat="1" ht="14.25" customHeight="1">
      <c r="A177" s="207" t="s">
        <v>446</v>
      </c>
      <c r="B177" s="193"/>
      <c r="C177" s="193"/>
      <c r="D177" s="134" t="s">
        <v>738</v>
      </c>
      <c r="E177" s="152" t="s">
        <v>720</v>
      </c>
      <c r="F177" s="155"/>
      <c r="G177" s="307"/>
      <c r="H177" s="192" t="s">
        <v>207</v>
      </c>
      <c r="I177" s="27" t="str">
        <f t="shared" si="17"/>
        <v>x</v>
      </c>
      <c r="J177" s="29"/>
      <c r="K177" s="34" t="s">
        <v>323</v>
      </c>
      <c r="L177" s="30"/>
    </row>
    <row r="178" spans="1:12" s="119" customFormat="1" ht="14.25" customHeight="1">
      <c r="A178" s="207" t="s">
        <v>445</v>
      </c>
      <c r="B178" s="193"/>
      <c r="C178" s="193"/>
      <c r="D178" s="215" t="str">
        <f t="shared" si="18"/>
        <v>x</v>
      </c>
      <c r="E178" s="152" t="s">
        <v>720</v>
      </c>
      <c r="F178" s="155"/>
      <c r="G178" s="307"/>
      <c r="H178" s="192" t="s">
        <v>557</v>
      </c>
      <c r="I178" s="27" t="str">
        <f t="shared" si="17"/>
        <v>x</v>
      </c>
      <c r="J178" s="29"/>
      <c r="K178" s="34" t="s">
        <v>323</v>
      </c>
      <c r="L178" s="30"/>
    </row>
    <row r="179" spans="1:12" s="119" customFormat="1" ht="14.25" customHeight="1">
      <c r="A179" s="207" t="s">
        <v>444</v>
      </c>
      <c r="B179" s="193"/>
      <c r="C179" s="193"/>
      <c r="D179" s="134" t="s">
        <v>738</v>
      </c>
      <c r="E179" s="152" t="s">
        <v>720</v>
      </c>
      <c r="F179" s="155"/>
      <c r="G179" s="307"/>
      <c r="H179" s="192" t="s">
        <v>208</v>
      </c>
      <c r="I179" s="27" t="str">
        <f t="shared" si="17"/>
        <v>x</v>
      </c>
      <c r="J179" s="29"/>
      <c r="K179" s="34" t="s">
        <v>323</v>
      </c>
      <c r="L179" s="30"/>
    </row>
    <row r="180" spans="1:12" s="119" customFormat="1" ht="14.25" customHeight="1">
      <c r="A180" s="207" t="s">
        <v>443</v>
      </c>
      <c r="B180" s="193"/>
      <c r="C180" s="193"/>
      <c r="D180" s="215" t="str">
        <f t="shared" si="18"/>
        <v>x</v>
      </c>
      <c r="E180" s="152" t="s">
        <v>720</v>
      </c>
      <c r="F180" s="155"/>
      <c r="G180" s="307"/>
      <c r="H180" s="192" t="s">
        <v>558</v>
      </c>
      <c r="I180" s="27" t="str">
        <f t="shared" si="17"/>
        <v>x</v>
      </c>
      <c r="J180" s="29"/>
      <c r="K180" s="34" t="s">
        <v>323</v>
      </c>
      <c r="L180" s="30"/>
    </row>
    <row r="181" spans="1:12" s="119" customFormat="1" ht="14.25" customHeight="1">
      <c r="A181" s="207" t="s">
        <v>347</v>
      </c>
      <c r="B181" s="193"/>
      <c r="C181" s="193"/>
      <c r="D181" s="215" t="str">
        <f>D149</f>
        <v>x</v>
      </c>
      <c r="E181" s="152" t="s">
        <v>719</v>
      </c>
      <c r="F181" s="155"/>
      <c r="G181" s="307"/>
      <c r="H181" s="192" t="s">
        <v>319</v>
      </c>
      <c r="I181" s="27" t="str">
        <f t="shared" si="17"/>
        <v>x</v>
      </c>
      <c r="J181" s="29"/>
      <c r="K181" s="34" t="s">
        <v>323</v>
      </c>
      <c r="L181" s="30"/>
    </row>
    <row r="182" spans="1:12" s="119" customFormat="1">
      <c r="A182" s="207"/>
      <c r="B182" s="193"/>
      <c r="C182" s="193"/>
      <c r="D182" s="134"/>
      <c r="E182" s="133"/>
      <c r="F182" s="155"/>
      <c r="G182" s="155"/>
      <c r="H182" s="194"/>
      <c r="I182" s="27"/>
      <c r="J182" s="29"/>
      <c r="K182" s="34"/>
      <c r="L182" s="30"/>
    </row>
    <row r="183" spans="1:12">
      <c r="A183" s="218" t="s">
        <v>425</v>
      </c>
      <c r="B183" s="211"/>
      <c r="C183" s="211"/>
      <c r="D183" s="140"/>
      <c r="E183" s="140"/>
      <c r="F183" s="267"/>
      <c r="G183" s="140"/>
      <c r="H183" s="140"/>
      <c r="I183" s="27"/>
      <c r="J183" s="37"/>
      <c r="K183" s="44"/>
      <c r="L183" s="38"/>
    </row>
    <row r="184" spans="1:12">
      <c r="A184" s="210"/>
      <c r="B184" s="211"/>
      <c r="C184" s="211"/>
      <c r="D184" s="140"/>
      <c r="E184" s="140"/>
      <c r="F184" s="267"/>
      <c r="G184" s="140"/>
      <c r="H184" s="140"/>
      <c r="I184" s="27"/>
      <c r="J184" s="37"/>
      <c r="K184" s="38"/>
      <c r="L184" s="38"/>
    </row>
    <row r="185" spans="1:12" ht="14.25" customHeight="1" thickBot="1">
      <c r="A185" s="118"/>
      <c r="B185" s="179"/>
      <c r="C185" s="179"/>
      <c r="D185" s="80"/>
      <c r="E185" s="80"/>
      <c r="F185" s="265"/>
      <c r="G185" s="80"/>
      <c r="H185" s="80"/>
      <c r="I185" s="180" t="str">
        <f>IF(COUNTIF(D186,"x")&gt;0,"x","")</f>
        <v>x</v>
      </c>
      <c r="J185" s="80"/>
      <c r="K185" s="80"/>
      <c r="L185" s="80"/>
    </row>
    <row r="186" spans="1:12" ht="21" customHeight="1" thickBot="1">
      <c r="A186" s="247" t="s">
        <v>367</v>
      </c>
      <c r="B186" s="248"/>
      <c r="C186" s="248"/>
      <c r="D186" s="31" t="str">
        <f>IF('Variabelliste - velg tabeller'!C47="","",'Variabelliste - velg tabeller'!C47)</f>
        <v>x</v>
      </c>
      <c r="E186" s="302" t="s">
        <v>718</v>
      </c>
      <c r="F186" s="271"/>
      <c r="G186" s="249"/>
      <c r="H186" s="214"/>
      <c r="I186" s="27" t="str">
        <f>IF(COUNTIF(D187:D229,"x")&gt;0,"x","")</f>
        <v>x</v>
      </c>
      <c r="J186" s="39"/>
      <c r="K186" s="34" t="s">
        <v>325</v>
      </c>
      <c r="L186" s="30"/>
    </row>
    <row r="187" spans="1:12" s="119" customFormat="1" ht="14.25" customHeight="1">
      <c r="A187" s="132" t="s">
        <v>24</v>
      </c>
      <c r="B187" s="191"/>
      <c r="C187" s="191"/>
      <c r="D187" s="134" t="s">
        <v>738</v>
      </c>
      <c r="E187" s="302"/>
      <c r="F187" s="276" t="s">
        <v>692</v>
      </c>
      <c r="G187" s="304" t="s">
        <v>351</v>
      </c>
      <c r="H187" s="192" t="s">
        <v>209</v>
      </c>
      <c r="I187" s="27" t="str">
        <f t="shared" ref="I187:I229" si="19">IF(COUNTIF(D187,"x")&gt;0,"x","")</f>
        <v>x</v>
      </c>
      <c r="J187" s="29"/>
      <c r="K187" s="34" t="s">
        <v>325</v>
      </c>
      <c r="L187" s="30"/>
    </row>
    <row r="188" spans="1:12" s="119" customFormat="1" ht="14.25" customHeight="1">
      <c r="A188" s="132" t="s">
        <v>25</v>
      </c>
      <c r="B188" s="191"/>
      <c r="C188" s="191"/>
      <c r="D188" s="134" t="s">
        <v>738</v>
      </c>
      <c r="E188" s="302"/>
      <c r="F188" s="276" t="s">
        <v>692</v>
      </c>
      <c r="G188" s="305"/>
      <c r="H188" s="192" t="s">
        <v>210</v>
      </c>
      <c r="I188" s="27" t="str">
        <f t="shared" si="19"/>
        <v>x</v>
      </c>
      <c r="J188" s="29"/>
      <c r="K188" s="34" t="s">
        <v>325</v>
      </c>
      <c r="L188" s="30"/>
    </row>
    <row r="189" spans="1:12" s="119" customFormat="1" ht="14.25" customHeight="1">
      <c r="A189" s="132" t="s">
        <v>26</v>
      </c>
      <c r="B189" s="191"/>
      <c r="C189" s="191"/>
      <c r="D189" s="134" t="s">
        <v>738</v>
      </c>
      <c r="E189" s="302"/>
      <c r="F189" s="276" t="s">
        <v>692</v>
      </c>
      <c r="G189" s="305"/>
      <c r="H189" s="192" t="s">
        <v>211</v>
      </c>
      <c r="I189" s="27" t="str">
        <f t="shared" si="19"/>
        <v>x</v>
      </c>
      <c r="J189" s="29"/>
      <c r="K189" s="34" t="s">
        <v>325</v>
      </c>
      <c r="L189" s="30"/>
    </row>
    <row r="190" spans="1:12" s="119" customFormat="1" ht="14.25" customHeight="1">
      <c r="A190" s="132" t="s">
        <v>27</v>
      </c>
      <c r="B190" s="191"/>
      <c r="C190" s="191"/>
      <c r="D190" s="134" t="s">
        <v>738</v>
      </c>
      <c r="E190" s="302"/>
      <c r="F190" s="276" t="s">
        <v>692</v>
      </c>
      <c r="G190" s="305"/>
      <c r="H190" s="192" t="s">
        <v>212</v>
      </c>
      <c r="I190" s="27" t="str">
        <f t="shared" si="19"/>
        <v>x</v>
      </c>
      <c r="J190" s="29"/>
      <c r="K190" s="34" t="s">
        <v>325</v>
      </c>
      <c r="L190" s="30"/>
    </row>
    <row r="191" spans="1:12" s="119" customFormat="1" ht="14.25" customHeight="1">
      <c r="A191" s="132" t="s">
        <v>28</v>
      </c>
      <c r="B191" s="191"/>
      <c r="C191" s="191"/>
      <c r="D191" s="134" t="s">
        <v>738</v>
      </c>
      <c r="E191" s="302"/>
      <c r="F191" s="276" t="s">
        <v>692</v>
      </c>
      <c r="G191" s="305"/>
      <c r="H191" s="192" t="s">
        <v>213</v>
      </c>
      <c r="I191" s="27" t="str">
        <f>IF(COUNTIF(D191,"x")&gt;0,"x","")</f>
        <v>x</v>
      </c>
      <c r="J191" s="29"/>
      <c r="K191" s="34" t="s">
        <v>325</v>
      </c>
      <c r="L191" s="30"/>
    </row>
    <row r="192" spans="1:12" s="119" customFormat="1" ht="14.25" customHeight="1">
      <c r="A192" s="132" t="s">
        <v>621</v>
      </c>
      <c r="B192" s="191"/>
      <c r="C192" s="191"/>
      <c r="D192" s="134" t="s">
        <v>738</v>
      </c>
      <c r="E192" s="302"/>
      <c r="F192" s="276" t="s">
        <v>692</v>
      </c>
      <c r="G192" s="305"/>
      <c r="H192" s="192" t="s">
        <v>214</v>
      </c>
      <c r="I192" s="27" t="str">
        <f t="shared" si="19"/>
        <v>x</v>
      </c>
      <c r="J192" s="29"/>
      <c r="K192" s="34" t="s">
        <v>325</v>
      </c>
      <c r="L192" s="30"/>
    </row>
    <row r="193" spans="1:12" s="119" customFormat="1" ht="14.25" customHeight="1">
      <c r="A193" s="132" t="s">
        <v>622</v>
      </c>
      <c r="B193" s="191"/>
      <c r="C193" s="191"/>
      <c r="D193" s="134" t="s">
        <v>738</v>
      </c>
      <c r="E193" s="302"/>
      <c r="F193" s="271"/>
      <c r="G193" s="305"/>
      <c r="H193" s="192" t="s">
        <v>215</v>
      </c>
      <c r="I193" s="27" t="str">
        <f t="shared" si="19"/>
        <v>x</v>
      </c>
      <c r="J193" s="29"/>
      <c r="K193" s="34" t="s">
        <v>325</v>
      </c>
      <c r="L193" s="30"/>
    </row>
    <row r="194" spans="1:12" s="119" customFormat="1" ht="14.25" customHeight="1">
      <c r="A194" s="132" t="s">
        <v>623</v>
      </c>
      <c r="B194" s="191"/>
      <c r="C194" s="191"/>
      <c r="D194" s="134" t="s">
        <v>738</v>
      </c>
      <c r="E194" s="302"/>
      <c r="F194" s="271"/>
      <c r="G194" s="305"/>
      <c r="H194" s="192" t="s">
        <v>216</v>
      </c>
      <c r="I194" s="27" t="str">
        <f t="shared" si="19"/>
        <v>x</v>
      </c>
      <c r="J194" s="29"/>
      <c r="K194" s="34" t="s">
        <v>325</v>
      </c>
      <c r="L194" s="30"/>
    </row>
    <row r="195" spans="1:12" s="119" customFormat="1" ht="14.25" customHeight="1">
      <c r="A195" s="132" t="s">
        <v>624</v>
      </c>
      <c r="B195" s="191"/>
      <c r="C195" s="191"/>
      <c r="D195" s="134" t="s">
        <v>738</v>
      </c>
      <c r="E195" s="302"/>
      <c r="F195" s="271"/>
      <c r="G195" s="305"/>
      <c r="H195" s="192" t="s">
        <v>217</v>
      </c>
      <c r="I195" s="27" t="str">
        <f t="shared" si="19"/>
        <v>x</v>
      </c>
      <c r="J195" s="29"/>
      <c r="K195" s="34" t="s">
        <v>325</v>
      </c>
      <c r="L195" s="30"/>
    </row>
    <row r="196" spans="1:12" s="119" customFormat="1" ht="14.25" customHeight="1">
      <c r="A196" s="132" t="s">
        <v>625</v>
      </c>
      <c r="B196" s="191"/>
      <c r="C196" s="191"/>
      <c r="D196" s="134" t="s">
        <v>738</v>
      </c>
      <c r="E196" s="302"/>
      <c r="F196" s="271"/>
      <c r="G196" s="305"/>
      <c r="H196" s="192" t="s">
        <v>218</v>
      </c>
      <c r="I196" s="27" t="str">
        <f t="shared" si="19"/>
        <v>x</v>
      </c>
      <c r="J196" s="29"/>
      <c r="K196" s="34" t="s">
        <v>325</v>
      </c>
      <c r="L196" s="30"/>
    </row>
    <row r="197" spans="1:12" s="119" customFormat="1" ht="14.25" customHeight="1">
      <c r="A197" s="132" t="s">
        <v>626</v>
      </c>
      <c r="B197" s="191"/>
      <c r="C197" s="191"/>
      <c r="D197" s="134" t="s">
        <v>738</v>
      </c>
      <c r="E197" s="302"/>
      <c r="F197" s="271"/>
      <c r="G197" s="305"/>
      <c r="H197" s="192" t="s">
        <v>219</v>
      </c>
      <c r="I197" s="27" t="str">
        <f t="shared" si="19"/>
        <v>x</v>
      </c>
      <c r="J197" s="29"/>
      <c r="K197" s="34" t="s">
        <v>325</v>
      </c>
      <c r="L197" s="30"/>
    </row>
    <row r="198" spans="1:12" s="119" customFormat="1" ht="14.25" customHeight="1">
      <c r="A198" s="132" t="s">
        <v>627</v>
      </c>
      <c r="B198" s="191"/>
      <c r="C198" s="191"/>
      <c r="D198" s="134" t="s">
        <v>738</v>
      </c>
      <c r="E198" s="302"/>
      <c r="F198" s="276" t="s">
        <v>692</v>
      </c>
      <c r="G198" s="305"/>
      <c r="H198" s="192" t="s">
        <v>220</v>
      </c>
      <c r="I198" s="27" t="str">
        <f t="shared" si="19"/>
        <v>x</v>
      </c>
      <c r="J198" s="29"/>
      <c r="K198" s="34" t="s">
        <v>325</v>
      </c>
      <c r="L198" s="30"/>
    </row>
    <row r="199" spans="1:12" s="119" customFormat="1" ht="14.25" customHeight="1">
      <c r="A199" s="132" t="s">
        <v>628</v>
      </c>
      <c r="B199" s="191"/>
      <c r="C199" s="191"/>
      <c r="D199" s="134" t="s">
        <v>738</v>
      </c>
      <c r="E199" s="302"/>
      <c r="F199" s="276" t="s">
        <v>692</v>
      </c>
      <c r="G199" s="305"/>
      <c r="H199" s="192" t="s">
        <v>221</v>
      </c>
      <c r="I199" s="27" t="str">
        <f t="shared" si="19"/>
        <v>x</v>
      </c>
      <c r="J199" s="29"/>
      <c r="K199" s="34" t="s">
        <v>325</v>
      </c>
      <c r="L199" s="30"/>
    </row>
    <row r="200" spans="1:12" s="119" customFormat="1" ht="14.25" customHeight="1">
      <c r="A200" s="132" t="s">
        <v>629</v>
      </c>
      <c r="B200" s="191"/>
      <c r="C200" s="191"/>
      <c r="D200" s="134" t="s">
        <v>738</v>
      </c>
      <c r="E200" s="302"/>
      <c r="F200" s="276" t="s">
        <v>692</v>
      </c>
      <c r="G200" s="305"/>
      <c r="H200" s="192" t="s">
        <v>222</v>
      </c>
      <c r="I200" s="27" t="str">
        <f t="shared" si="19"/>
        <v>x</v>
      </c>
      <c r="J200" s="29"/>
      <c r="K200" s="34" t="s">
        <v>325</v>
      </c>
      <c r="L200" s="30"/>
    </row>
    <row r="201" spans="1:12" s="119" customFormat="1" ht="14.25" customHeight="1">
      <c r="A201" s="132" t="s">
        <v>630</v>
      </c>
      <c r="B201" s="191"/>
      <c r="C201" s="191"/>
      <c r="D201" s="134" t="s">
        <v>738</v>
      </c>
      <c r="E201" s="302"/>
      <c r="F201" s="276" t="s">
        <v>692</v>
      </c>
      <c r="G201" s="305"/>
      <c r="H201" s="192" t="s">
        <v>223</v>
      </c>
      <c r="I201" s="27" t="str">
        <f t="shared" si="19"/>
        <v>x</v>
      </c>
      <c r="J201" s="29"/>
      <c r="K201" s="34" t="s">
        <v>325</v>
      </c>
      <c r="L201" s="30"/>
    </row>
    <row r="202" spans="1:12" s="119" customFormat="1" ht="14.25" customHeight="1">
      <c r="A202" s="132" t="s">
        <v>631</v>
      </c>
      <c r="B202" s="191"/>
      <c r="C202" s="191"/>
      <c r="D202" s="134" t="s">
        <v>738</v>
      </c>
      <c r="E202" s="302"/>
      <c r="F202" s="276" t="s">
        <v>692</v>
      </c>
      <c r="G202" s="305"/>
      <c r="H202" s="192" t="s">
        <v>224</v>
      </c>
      <c r="I202" s="27" t="str">
        <f t="shared" si="19"/>
        <v>x</v>
      </c>
      <c r="J202" s="29"/>
      <c r="K202" s="34" t="s">
        <v>325</v>
      </c>
      <c r="L202" s="30"/>
    </row>
    <row r="203" spans="1:12" s="119" customFormat="1" ht="14.25" customHeight="1">
      <c r="A203" s="132" t="s">
        <v>29</v>
      </c>
      <c r="B203" s="191"/>
      <c r="C203" s="191"/>
      <c r="D203" s="134" t="s">
        <v>738</v>
      </c>
      <c r="E203" s="302"/>
      <c r="F203" s="271"/>
      <c r="G203" s="305"/>
      <c r="H203" s="192" t="s">
        <v>225</v>
      </c>
      <c r="I203" s="27" t="str">
        <f t="shared" si="19"/>
        <v>x</v>
      </c>
      <c r="J203" s="29"/>
      <c r="K203" s="34" t="s">
        <v>325</v>
      </c>
      <c r="L203" s="30"/>
    </row>
    <row r="204" spans="1:12" s="119" customFormat="1" ht="14.25" customHeight="1">
      <c r="A204" s="132" t="s">
        <v>30</v>
      </c>
      <c r="B204" s="191"/>
      <c r="C204" s="191"/>
      <c r="D204" s="134" t="s">
        <v>738</v>
      </c>
      <c r="E204" s="302"/>
      <c r="F204" s="271"/>
      <c r="G204" s="305"/>
      <c r="H204" s="192" t="s">
        <v>226</v>
      </c>
      <c r="I204" s="27" t="str">
        <f t="shared" si="19"/>
        <v>x</v>
      </c>
      <c r="J204" s="29"/>
      <c r="K204" s="34" t="s">
        <v>325</v>
      </c>
      <c r="L204" s="30"/>
    </row>
    <row r="205" spans="1:12" s="119" customFormat="1" ht="14.25" customHeight="1">
      <c r="A205" s="132" t="s">
        <v>31</v>
      </c>
      <c r="B205" s="191"/>
      <c r="C205" s="191"/>
      <c r="D205" s="134" t="s">
        <v>738</v>
      </c>
      <c r="E205" s="302"/>
      <c r="F205" s="271"/>
      <c r="G205" s="305"/>
      <c r="H205" s="192" t="s">
        <v>227</v>
      </c>
      <c r="I205" s="27" t="str">
        <f t="shared" si="19"/>
        <v>x</v>
      </c>
      <c r="J205" s="29"/>
      <c r="K205" s="34" t="s">
        <v>325</v>
      </c>
      <c r="L205" s="30"/>
    </row>
    <row r="206" spans="1:12" s="119" customFormat="1" ht="14.25" customHeight="1">
      <c r="A206" s="132" t="s">
        <v>32</v>
      </c>
      <c r="B206" s="191"/>
      <c r="C206" s="191"/>
      <c r="D206" s="134" t="s">
        <v>738</v>
      </c>
      <c r="E206" s="302"/>
      <c r="F206" s="271"/>
      <c r="G206" s="305"/>
      <c r="H206" s="192" t="s">
        <v>228</v>
      </c>
      <c r="I206" s="27" t="str">
        <f t="shared" si="19"/>
        <v>x</v>
      </c>
      <c r="J206" s="29"/>
      <c r="K206" s="34" t="s">
        <v>325</v>
      </c>
      <c r="L206" s="30"/>
    </row>
    <row r="207" spans="1:12" s="119" customFormat="1" ht="14.25" customHeight="1">
      <c r="A207" s="132" t="s">
        <v>33</v>
      </c>
      <c r="B207" s="191"/>
      <c r="C207" s="191"/>
      <c r="D207" s="134" t="s">
        <v>738</v>
      </c>
      <c r="E207" s="302"/>
      <c r="F207" s="271"/>
      <c r="G207" s="305"/>
      <c r="H207" s="192" t="s">
        <v>229</v>
      </c>
      <c r="I207" s="27" t="str">
        <f t="shared" si="19"/>
        <v>x</v>
      </c>
      <c r="J207" s="29"/>
      <c r="K207" s="34" t="s">
        <v>325</v>
      </c>
      <c r="L207" s="30"/>
    </row>
    <row r="208" spans="1:12" s="119" customFormat="1" ht="14.25" customHeight="1">
      <c r="A208" s="132" t="s">
        <v>34</v>
      </c>
      <c r="B208" s="191"/>
      <c r="C208" s="191"/>
      <c r="D208" s="134" t="s">
        <v>738</v>
      </c>
      <c r="E208" s="302"/>
      <c r="F208" s="271"/>
      <c r="G208" s="305"/>
      <c r="H208" s="192" t="s">
        <v>230</v>
      </c>
      <c r="I208" s="27" t="str">
        <f t="shared" si="19"/>
        <v>x</v>
      </c>
      <c r="J208" s="29"/>
      <c r="K208" s="34" t="s">
        <v>325</v>
      </c>
      <c r="L208" s="30"/>
    </row>
    <row r="209" spans="1:12" s="119" customFormat="1" ht="14.25" customHeight="1">
      <c r="A209" s="132" t="s">
        <v>35</v>
      </c>
      <c r="B209" s="191"/>
      <c r="C209" s="191"/>
      <c r="D209" s="134" t="s">
        <v>738</v>
      </c>
      <c r="E209" s="302"/>
      <c r="F209" s="271"/>
      <c r="G209" s="305"/>
      <c r="H209" s="192" t="s">
        <v>231</v>
      </c>
      <c r="I209" s="27" t="str">
        <f t="shared" si="19"/>
        <v>x</v>
      </c>
      <c r="J209" s="29"/>
      <c r="K209" s="34" t="s">
        <v>325</v>
      </c>
      <c r="L209" s="30"/>
    </row>
    <row r="210" spans="1:12" s="119" customFormat="1" ht="14.25" customHeight="1">
      <c r="A210" s="132" t="s">
        <v>36</v>
      </c>
      <c r="B210" s="191"/>
      <c r="C210" s="191"/>
      <c r="D210" s="134" t="s">
        <v>738</v>
      </c>
      <c r="E210" s="302"/>
      <c r="F210" s="271"/>
      <c r="G210" s="305"/>
      <c r="H210" s="192" t="s">
        <v>232</v>
      </c>
      <c r="I210" s="27" t="str">
        <f t="shared" si="19"/>
        <v>x</v>
      </c>
      <c r="J210" s="29"/>
      <c r="K210" s="34" t="s">
        <v>325</v>
      </c>
      <c r="L210" s="30"/>
    </row>
    <row r="211" spans="1:12" s="119" customFormat="1" ht="14.25" customHeight="1">
      <c r="A211" s="132" t="s">
        <v>37</v>
      </c>
      <c r="B211" s="191"/>
      <c r="C211" s="191"/>
      <c r="D211" s="134" t="s">
        <v>738</v>
      </c>
      <c r="E211" s="302"/>
      <c r="F211" s="271"/>
      <c r="G211" s="305"/>
      <c r="H211" s="192" t="s">
        <v>233</v>
      </c>
      <c r="I211" s="27" t="str">
        <f t="shared" si="19"/>
        <v>x</v>
      </c>
      <c r="J211" s="29"/>
      <c r="K211" s="34" t="s">
        <v>325</v>
      </c>
      <c r="L211" s="30"/>
    </row>
    <row r="212" spans="1:12" s="119" customFormat="1" ht="14.25" customHeight="1">
      <c r="A212" s="132" t="s">
        <v>38</v>
      </c>
      <c r="B212" s="191"/>
      <c r="C212" s="191"/>
      <c r="D212" s="134" t="s">
        <v>738</v>
      </c>
      <c r="E212" s="302"/>
      <c r="F212" s="271"/>
      <c r="G212" s="305"/>
      <c r="H212" s="192" t="s">
        <v>234</v>
      </c>
      <c r="I212" s="27" t="str">
        <f t="shared" si="19"/>
        <v>x</v>
      </c>
      <c r="J212" s="29"/>
      <c r="K212" s="34" t="s">
        <v>325</v>
      </c>
      <c r="L212" s="30"/>
    </row>
    <row r="213" spans="1:12" s="119" customFormat="1" ht="14.25" customHeight="1">
      <c r="A213" s="132" t="s">
        <v>39</v>
      </c>
      <c r="B213" s="191"/>
      <c r="C213" s="191"/>
      <c r="D213" s="134" t="s">
        <v>738</v>
      </c>
      <c r="E213" s="302"/>
      <c r="F213" s="271"/>
      <c r="G213" s="305"/>
      <c r="H213" s="192" t="s">
        <v>235</v>
      </c>
      <c r="I213" s="27" t="str">
        <f t="shared" si="19"/>
        <v>x</v>
      </c>
      <c r="J213" s="29"/>
      <c r="K213" s="34" t="s">
        <v>325</v>
      </c>
      <c r="L213" s="30"/>
    </row>
    <row r="214" spans="1:12" s="119" customFormat="1" ht="14.25" customHeight="1">
      <c r="A214" s="132" t="s">
        <v>40</v>
      </c>
      <c r="B214" s="191"/>
      <c r="C214" s="191"/>
      <c r="D214" s="134" t="s">
        <v>738</v>
      </c>
      <c r="E214" s="302"/>
      <c r="F214" s="271"/>
      <c r="G214" s="305"/>
      <c r="H214" s="192" t="s">
        <v>236</v>
      </c>
      <c r="I214" s="27" t="str">
        <f t="shared" si="19"/>
        <v>x</v>
      </c>
      <c r="J214" s="29"/>
      <c r="K214" s="34" t="s">
        <v>325</v>
      </c>
      <c r="L214" s="30"/>
    </row>
    <row r="215" spans="1:12" s="119" customFormat="1" ht="14.25" customHeight="1">
      <c r="A215" s="132" t="s">
        <v>41</v>
      </c>
      <c r="B215" s="191"/>
      <c r="C215" s="191"/>
      <c r="D215" s="134" t="s">
        <v>738</v>
      </c>
      <c r="E215" s="302"/>
      <c r="F215" s="271"/>
      <c r="G215" s="305"/>
      <c r="H215" s="192" t="s">
        <v>237</v>
      </c>
      <c r="I215" s="27" t="str">
        <f t="shared" si="19"/>
        <v>x</v>
      </c>
      <c r="J215" s="29"/>
      <c r="K215" s="34" t="s">
        <v>325</v>
      </c>
      <c r="L215" s="30"/>
    </row>
    <row r="216" spans="1:12" s="119" customFormat="1" ht="14.25" customHeight="1">
      <c r="A216" s="132" t="s">
        <v>42</v>
      </c>
      <c r="B216" s="191"/>
      <c r="C216" s="191"/>
      <c r="D216" s="134" t="s">
        <v>738</v>
      </c>
      <c r="E216" s="302"/>
      <c r="F216" s="271"/>
      <c r="G216" s="305"/>
      <c r="H216" s="192" t="s">
        <v>238</v>
      </c>
      <c r="I216" s="27" t="str">
        <f t="shared" si="19"/>
        <v>x</v>
      </c>
      <c r="J216" s="29"/>
      <c r="K216" s="34" t="s">
        <v>325</v>
      </c>
      <c r="L216" s="30"/>
    </row>
    <row r="217" spans="1:12" s="119" customFormat="1" ht="14.25" customHeight="1">
      <c r="A217" s="132" t="s">
        <v>43</v>
      </c>
      <c r="B217" s="191"/>
      <c r="C217" s="191"/>
      <c r="D217" s="134" t="s">
        <v>738</v>
      </c>
      <c r="E217" s="302"/>
      <c r="F217" s="271"/>
      <c r="G217" s="305"/>
      <c r="H217" s="192" t="s">
        <v>239</v>
      </c>
      <c r="I217" s="27" t="str">
        <f t="shared" si="19"/>
        <v>x</v>
      </c>
      <c r="J217" s="29"/>
      <c r="K217" s="34" t="s">
        <v>325</v>
      </c>
      <c r="L217" s="30"/>
    </row>
    <row r="218" spans="1:12" s="119" customFormat="1" ht="14.25" customHeight="1">
      <c r="A218" s="132" t="s">
        <v>44</v>
      </c>
      <c r="B218" s="191"/>
      <c r="C218" s="191"/>
      <c r="D218" s="134" t="s">
        <v>738</v>
      </c>
      <c r="E218" s="302"/>
      <c r="F218" s="271"/>
      <c r="G218" s="305"/>
      <c r="H218" s="192" t="s">
        <v>240</v>
      </c>
      <c r="I218" s="27" t="str">
        <f t="shared" si="19"/>
        <v>x</v>
      </c>
      <c r="J218" s="29"/>
      <c r="K218" s="34" t="s">
        <v>325</v>
      </c>
      <c r="L218" s="30"/>
    </row>
    <row r="219" spans="1:12" s="119" customFormat="1" ht="14.25" customHeight="1">
      <c r="A219" s="132" t="s">
        <v>45</v>
      </c>
      <c r="B219" s="191"/>
      <c r="C219" s="191"/>
      <c r="D219" s="134" t="s">
        <v>738</v>
      </c>
      <c r="E219" s="302"/>
      <c r="F219" s="271"/>
      <c r="G219" s="305"/>
      <c r="H219" s="192" t="s">
        <v>241</v>
      </c>
      <c r="I219" s="27" t="str">
        <f t="shared" si="19"/>
        <v>x</v>
      </c>
      <c r="J219" s="29"/>
      <c r="K219" s="34" t="s">
        <v>325</v>
      </c>
      <c r="L219" s="30"/>
    </row>
    <row r="220" spans="1:12" s="119" customFormat="1" ht="14.25" customHeight="1">
      <c r="A220" s="132" t="s">
        <v>47</v>
      </c>
      <c r="B220" s="191"/>
      <c r="C220" s="191"/>
      <c r="D220" s="134" t="s">
        <v>738</v>
      </c>
      <c r="E220" s="302"/>
      <c r="F220" s="271"/>
      <c r="G220" s="305"/>
      <c r="H220" s="192" t="s">
        <v>243</v>
      </c>
      <c r="I220" s="27" t="str">
        <f t="shared" si="19"/>
        <v>x</v>
      </c>
      <c r="J220" s="29"/>
      <c r="K220" s="34" t="s">
        <v>325</v>
      </c>
      <c r="L220" s="30"/>
    </row>
    <row r="221" spans="1:12" s="119" customFormat="1" ht="14.25" customHeight="1">
      <c r="A221" s="132" t="s">
        <v>46</v>
      </c>
      <c r="B221" s="191"/>
      <c r="C221" s="191"/>
      <c r="D221" s="134" t="s">
        <v>738</v>
      </c>
      <c r="E221" s="302"/>
      <c r="F221" s="271"/>
      <c r="G221" s="305"/>
      <c r="H221" s="192" t="s">
        <v>242</v>
      </c>
      <c r="I221" s="27" t="str">
        <f t="shared" si="19"/>
        <v>x</v>
      </c>
      <c r="J221" s="29"/>
      <c r="K221" s="34" t="s">
        <v>325</v>
      </c>
      <c r="L221" s="30"/>
    </row>
    <row r="222" spans="1:12" s="119" customFormat="1" ht="14.25" customHeight="1">
      <c r="A222" s="132" t="s">
        <v>48</v>
      </c>
      <c r="B222" s="191"/>
      <c r="C222" s="191"/>
      <c r="D222" s="134" t="s">
        <v>738</v>
      </c>
      <c r="E222" s="302"/>
      <c r="F222" s="271"/>
      <c r="G222" s="305"/>
      <c r="H222" s="192" t="s">
        <v>244</v>
      </c>
      <c r="I222" s="27" t="str">
        <f t="shared" si="19"/>
        <v>x</v>
      </c>
      <c r="J222" s="29"/>
      <c r="K222" s="34" t="s">
        <v>325</v>
      </c>
      <c r="L222" s="30"/>
    </row>
    <row r="223" spans="1:12" s="119" customFormat="1" ht="14.25" customHeight="1">
      <c r="A223" s="132" t="s">
        <v>312</v>
      </c>
      <c r="B223" s="191"/>
      <c r="C223" s="191"/>
      <c r="D223" s="134" t="s">
        <v>738</v>
      </c>
      <c r="E223" s="302"/>
      <c r="F223" s="271"/>
      <c r="G223" s="305"/>
      <c r="H223" s="192" t="s">
        <v>245</v>
      </c>
      <c r="I223" s="27" t="str">
        <f t="shared" si="19"/>
        <v>x</v>
      </c>
      <c r="J223" s="29"/>
      <c r="K223" s="34" t="s">
        <v>325</v>
      </c>
      <c r="L223" s="30"/>
    </row>
    <row r="224" spans="1:12" s="119" customFormat="1" ht="14.25" customHeight="1">
      <c r="A224" s="132" t="s">
        <v>49</v>
      </c>
      <c r="B224" s="191"/>
      <c r="C224" s="191"/>
      <c r="D224" s="134" t="s">
        <v>738</v>
      </c>
      <c r="E224" s="302"/>
      <c r="F224" s="271"/>
      <c r="G224" s="305"/>
      <c r="H224" s="192" t="s">
        <v>246</v>
      </c>
      <c r="I224" s="27" t="str">
        <f t="shared" si="19"/>
        <v>x</v>
      </c>
      <c r="J224" s="29"/>
      <c r="K224" s="34" t="s">
        <v>325</v>
      </c>
      <c r="L224" s="30"/>
    </row>
    <row r="225" spans="1:12" s="119" customFormat="1" ht="14.25" customHeight="1">
      <c r="A225" s="132" t="s">
        <v>632</v>
      </c>
      <c r="B225" s="191"/>
      <c r="C225" s="191"/>
      <c r="D225" s="134" t="s">
        <v>738</v>
      </c>
      <c r="E225" s="302"/>
      <c r="F225" s="271"/>
      <c r="G225" s="305"/>
      <c r="H225" s="192" t="s">
        <v>247</v>
      </c>
      <c r="I225" s="27" t="str">
        <f t="shared" si="19"/>
        <v>x</v>
      </c>
      <c r="J225" s="29"/>
      <c r="K225" s="34" t="s">
        <v>325</v>
      </c>
      <c r="L225" s="30"/>
    </row>
    <row r="226" spans="1:12" s="119" customFormat="1" ht="14.25" customHeight="1">
      <c r="A226" s="132" t="s">
        <v>633</v>
      </c>
      <c r="B226" s="191"/>
      <c r="C226" s="191"/>
      <c r="D226" s="134" t="s">
        <v>738</v>
      </c>
      <c r="E226" s="302"/>
      <c r="F226" s="271"/>
      <c r="G226" s="305"/>
      <c r="H226" s="192" t="s">
        <v>248</v>
      </c>
      <c r="I226" s="27" t="str">
        <f t="shared" si="19"/>
        <v>x</v>
      </c>
      <c r="J226" s="29"/>
      <c r="K226" s="34" t="s">
        <v>325</v>
      </c>
      <c r="L226" s="30"/>
    </row>
    <row r="227" spans="1:12" s="119" customFormat="1" ht="14.25" customHeight="1">
      <c r="A227" s="132" t="s">
        <v>634</v>
      </c>
      <c r="B227" s="191"/>
      <c r="C227" s="191"/>
      <c r="D227" s="134" t="s">
        <v>738</v>
      </c>
      <c r="E227" s="302"/>
      <c r="F227" s="271"/>
      <c r="G227" s="305"/>
      <c r="H227" s="192" t="s">
        <v>249</v>
      </c>
      <c r="I227" s="27" t="str">
        <f t="shared" si="19"/>
        <v>x</v>
      </c>
      <c r="J227" s="29"/>
      <c r="K227" s="34" t="s">
        <v>325</v>
      </c>
      <c r="L227" s="30"/>
    </row>
    <row r="228" spans="1:12" s="119" customFormat="1" ht="14.25" customHeight="1">
      <c r="A228" s="132" t="s">
        <v>635</v>
      </c>
      <c r="B228" s="191"/>
      <c r="C228" s="191"/>
      <c r="D228" s="134" t="s">
        <v>738</v>
      </c>
      <c r="E228" s="302"/>
      <c r="F228" s="271"/>
      <c r="G228" s="305"/>
      <c r="H228" s="192" t="s">
        <v>250</v>
      </c>
      <c r="I228" s="27" t="str">
        <f t="shared" si="19"/>
        <v>x</v>
      </c>
      <c r="J228" s="29"/>
      <c r="K228" s="34" t="s">
        <v>325</v>
      </c>
      <c r="L228" s="30"/>
    </row>
    <row r="229" spans="1:12" s="119" customFormat="1" ht="14.25" customHeight="1">
      <c r="A229" s="132" t="s">
        <v>371</v>
      </c>
      <c r="B229" s="191"/>
      <c r="C229" s="191"/>
      <c r="D229" s="134" t="s">
        <v>738</v>
      </c>
      <c r="E229" s="303"/>
      <c r="F229" s="271"/>
      <c r="G229" s="305"/>
      <c r="H229" s="192" t="s">
        <v>251</v>
      </c>
      <c r="I229" s="27" t="str">
        <f t="shared" si="19"/>
        <v>x</v>
      </c>
      <c r="J229" s="29"/>
      <c r="K229" s="34" t="s">
        <v>325</v>
      </c>
      <c r="L229" s="30"/>
    </row>
    <row r="230" spans="1:12" s="119" customFormat="1">
      <c r="A230" s="207"/>
      <c r="B230" s="193"/>
      <c r="C230" s="193"/>
      <c r="D230" s="134"/>
      <c r="E230" s="133"/>
      <c r="F230" s="155"/>
      <c r="G230" s="155"/>
      <c r="H230" s="194"/>
      <c r="I230" s="27"/>
      <c r="J230" s="29"/>
      <c r="K230" s="34"/>
      <c r="L230" s="30"/>
    </row>
    <row r="231" spans="1:12">
      <c r="A231" s="218" t="s">
        <v>425</v>
      </c>
      <c r="B231" s="211"/>
      <c r="C231" s="211"/>
      <c r="D231" s="140"/>
      <c r="E231" s="140"/>
      <c r="F231" s="267"/>
      <c r="G231" s="140"/>
      <c r="H231" s="140"/>
      <c r="I231" s="27"/>
      <c r="J231" s="37"/>
      <c r="K231" s="38"/>
      <c r="L231" s="38"/>
    </row>
    <row r="232" spans="1:12">
      <c r="A232" s="210"/>
      <c r="B232" s="211"/>
      <c r="C232" s="211"/>
      <c r="D232" s="140"/>
      <c r="E232" s="140"/>
      <c r="F232" s="267"/>
      <c r="G232" s="140"/>
      <c r="H232" s="140"/>
      <c r="I232" s="27"/>
      <c r="J232" s="37"/>
      <c r="K232" s="38"/>
      <c r="L232" s="38"/>
    </row>
    <row r="233" spans="1:12" ht="14.25" customHeight="1" thickBot="1">
      <c r="A233" s="118"/>
      <c r="B233" s="179"/>
      <c r="C233" s="179"/>
      <c r="D233" s="80"/>
      <c r="E233" s="80"/>
      <c r="F233" s="265"/>
      <c r="G233" s="80"/>
      <c r="H233" s="80"/>
      <c r="I233" s="180" t="str">
        <f>IF(COUNTIF(D234,"x")&gt;0,"x","")</f>
        <v>x</v>
      </c>
      <c r="J233" s="80"/>
      <c r="K233" s="80"/>
      <c r="L233" s="80"/>
    </row>
    <row r="234" spans="1:12" ht="21" customHeight="1" thickBot="1">
      <c r="A234" s="250" t="s">
        <v>372</v>
      </c>
      <c r="B234" s="245"/>
      <c r="C234" s="245"/>
      <c r="D234" s="31" t="str">
        <f>IF('Variabelliste - velg tabeller'!C52="","",'Variabelliste - velg tabeller'!C52)</f>
        <v>x</v>
      </c>
      <c r="E234" s="152" t="s">
        <v>717</v>
      </c>
      <c r="F234" s="155"/>
      <c r="G234" s="249"/>
      <c r="H234" s="214"/>
      <c r="I234" s="27" t="str">
        <f>IF(COUNTIF(D235:D244,"x")&gt;0,"x","")</f>
        <v>x</v>
      </c>
      <c r="J234" s="39"/>
      <c r="K234" s="34" t="s">
        <v>375</v>
      </c>
      <c r="L234" s="30"/>
    </row>
    <row r="235" spans="1:12" s="119" customFormat="1" ht="14.25" customHeight="1">
      <c r="A235" s="132" t="s">
        <v>387</v>
      </c>
      <c r="B235" s="191"/>
      <c r="C235" s="191"/>
      <c r="D235" s="134" t="str">
        <f>D234</f>
        <v>x</v>
      </c>
      <c r="E235" s="152" t="s">
        <v>717</v>
      </c>
      <c r="F235" s="155"/>
      <c r="G235" s="304" t="s">
        <v>373</v>
      </c>
      <c r="H235" s="192" t="s">
        <v>374</v>
      </c>
      <c r="I235" s="27" t="str">
        <f>IF(COUNTIF(D235,"x")&gt;0,"x","")</f>
        <v>x</v>
      </c>
      <c r="J235" s="29"/>
      <c r="K235" s="34" t="s">
        <v>375</v>
      </c>
      <c r="L235" s="30"/>
    </row>
    <row r="236" spans="1:12" s="119" customFormat="1" ht="14.25" customHeight="1">
      <c r="A236" s="132" t="s">
        <v>593</v>
      </c>
      <c r="B236" s="191"/>
      <c r="C236" s="191"/>
      <c r="D236" s="134" t="s">
        <v>738</v>
      </c>
      <c r="E236" s="152" t="s">
        <v>717</v>
      </c>
      <c r="F236" s="155"/>
      <c r="G236" s="305"/>
      <c r="H236" s="192" t="s">
        <v>186</v>
      </c>
      <c r="I236" s="27" t="str">
        <f t="shared" ref="I236:I243" si="20">IF(COUNTIF(D236,"x")&gt;0,"x","")</f>
        <v>x</v>
      </c>
      <c r="J236" s="29"/>
      <c r="K236" s="34" t="s">
        <v>375</v>
      </c>
      <c r="L236" s="30"/>
    </row>
    <row r="237" spans="1:12" s="119" customFormat="1" ht="14.25" customHeight="1">
      <c r="A237" s="132" t="s">
        <v>376</v>
      </c>
      <c r="B237" s="191"/>
      <c r="C237" s="191"/>
      <c r="D237" s="134" t="s">
        <v>738</v>
      </c>
      <c r="E237" s="152" t="s">
        <v>717</v>
      </c>
      <c r="F237" s="155"/>
      <c r="G237" s="305"/>
      <c r="H237" s="192" t="s">
        <v>187</v>
      </c>
      <c r="I237" s="27" t="str">
        <f t="shared" si="20"/>
        <v>x</v>
      </c>
      <c r="J237" s="29"/>
      <c r="K237" s="34" t="s">
        <v>375</v>
      </c>
      <c r="L237" s="30"/>
    </row>
    <row r="238" spans="1:12" s="119" customFormat="1" ht="14.25" customHeight="1">
      <c r="A238" s="132" t="s">
        <v>579</v>
      </c>
      <c r="B238" s="191"/>
      <c r="C238" s="191"/>
      <c r="D238" s="134" t="s">
        <v>738</v>
      </c>
      <c r="E238" s="152" t="s">
        <v>717</v>
      </c>
      <c r="F238" s="155"/>
      <c r="G238" s="305"/>
      <c r="H238" s="192" t="s">
        <v>377</v>
      </c>
      <c r="I238" s="27" t="str">
        <f t="shared" si="20"/>
        <v>x</v>
      </c>
      <c r="J238" s="23" t="s">
        <v>391</v>
      </c>
      <c r="K238" s="34" t="s">
        <v>375</v>
      </c>
      <c r="L238" s="30"/>
    </row>
    <row r="239" spans="1:12" s="119" customFormat="1" ht="14.25" customHeight="1">
      <c r="A239" s="132" t="s">
        <v>378</v>
      </c>
      <c r="B239" s="191"/>
      <c r="C239" s="191"/>
      <c r="D239" s="134" t="s">
        <v>738</v>
      </c>
      <c r="E239" s="152" t="s">
        <v>717</v>
      </c>
      <c r="F239" s="155"/>
      <c r="G239" s="305"/>
      <c r="H239" s="192" t="s">
        <v>379</v>
      </c>
      <c r="I239" s="27" t="str">
        <f t="shared" si="20"/>
        <v>x</v>
      </c>
      <c r="J239" s="29"/>
      <c r="K239" s="34" t="s">
        <v>375</v>
      </c>
      <c r="L239" s="30"/>
    </row>
    <row r="240" spans="1:12" s="119" customFormat="1" ht="14.25" customHeight="1">
      <c r="A240" s="132" t="s">
        <v>380</v>
      </c>
      <c r="B240" s="191"/>
      <c r="C240" s="191"/>
      <c r="D240" s="134" t="s">
        <v>738</v>
      </c>
      <c r="E240" s="152" t="s">
        <v>717</v>
      </c>
      <c r="F240" s="155"/>
      <c r="G240" s="305"/>
      <c r="H240" s="192" t="s">
        <v>381</v>
      </c>
      <c r="I240" s="27" t="str">
        <f t="shared" si="20"/>
        <v>x</v>
      </c>
      <c r="J240" s="23" t="s">
        <v>707</v>
      </c>
      <c r="K240" s="34" t="s">
        <v>375</v>
      </c>
      <c r="L240" s="30"/>
    </row>
    <row r="241" spans="1:12" s="119" customFormat="1" ht="14.25" customHeight="1">
      <c r="A241" s="132" t="s">
        <v>382</v>
      </c>
      <c r="B241" s="191"/>
      <c r="C241" s="191"/>
      <c r="D241" s="134" t="s">
        <v>738</v>
      </c>
      <c r="E241" s="152" t="s">
        <v>717</v>
      </c>
      <c r="F241" s="155"/>
      <c r="G241" s="305"/>
      <c r="H241" s="192" t="s">
        <v>183</v>
      </c>
      <c r="I241" s="27" t="str">
        <f t="shared" si="20"/>
        <v>x</v>
      </c>
      <c r="J241" s="29"/>
      <c r="K241" s="34" t="s">
        <v>375</v>
      </c>
      <c r="L241" s="30"/>
    </row>
    <row r="242" spans="1:12" s="119" customFormat="1" ht="14.25" customHeight="1">
      <c r="A242" s="132" t="s">
        <v>383</v>
      </c>
      <c r="B242" s="191"/>
      <c r="C242" s="191"/>
      <c r="D242" s="134" t="s">
        <v>738</v>
      </c>
      <c r="E242" s="152" t="s">
        <v>717</v>
      </c>
      <c r="F242" s="155"/>
      <c r="G242" s="305"/>
      <c r="H242" s="192" t="s">
        <v>384</v>
      </c>
      <c r="I242" s="27" t="str">
        <f t="shared" si="20"/>
        <v>x</v>
      </c>
      <c r="J242" s="29"/>
      <c r="K242" s="34" t="s">
        <v>375</v>
      </c>
      <c r="L242" s="30"/>
    </row>
    <row r="243" spans="1:12" s="119" customFormat="1" ht="14.25" customHeight="1">
      <c r="A243" s="132" t="s">
        <v>385</v>
      </c>
      <c r="B243" s="191"/>
      <c r="C243" s="191"/>
      <c r="D243" s="134" t="s">
        <v>738</v>
      </c>
      <c r="E243" s="152" t="s">
        <v>717</v>
      </c>
      <c r="F243" s="155"/>
      <c r="G243" s="305"/>
      <c r="H243" s="192" t="s">
        <v>386</v>
      </c>
      <c r="I243" s="27" t="str">
        <f t="shared" si="20"/>
        <v>x</v>
      </c>
      <c r="J243" s="29"/>
      <c r="K243" s="34" t="s">
        <v>375</v>
      </c>
      <c r="L243" s="30"/>
    </row>
    <row r="244" spans="1:12" s="119" customFormat="1">
      <c r="A244" s="207"/>
      <c r="B244" s="193"/>
      <c r="C244" s="193"/>
      <c r="D244" s="134"/>
      <c r="E244" s="133"/>
      <c r="F244" s="155"/>
      <c r="G244" s="155"/>
      <c r="H244" s="194"/>
      <c r="I244" s="27"/>
      <c r="J244" s="29"/>
      <c r="K244" s="34"/>
      <c r="L244" s="30"/>
    </row>
    <row r="245" spans="1:12">
      <c r="A245" s="218" t="s">
        <v>425</v>
      </c>
      <c r="B245" s="211"/>
      <c r="C245" s="211"/>
      <c r="D245" s="140"/>
      <c r="E245" s="140"/>
      <c r="F245" s="267"/>
      <c r="G245" s="140"/>
      <c r="H245" s="140"/>
      <c r="I245" s="27"/>
      <c r="J245" s="37"/>
      <c r="K245" s="38"/>
      <c r="L245" s="38"/>
    </row>
    <row r="246" spans="1:12">
      <c r="A246" s="210"/>
      <c r="B246" s="211"/>
      <c r="C246" s="211"/>
      <c r="D246" s="140"/>
      <c r="E246" s="140"/>
      <c r="F246" s="267"/>
      <c r="G246" s="140"/>
      <c r="H246" s="140"/>
      <c r="I246" s="27"/>
      <c r="J246" s="37"/>
      <c r="K246" s="38"/>
      <c r="L246" s="38"/>
    </row>
    <row r="247" spans="1:12" ht="14.25" customHeight="1" thickBot="1">
      <c r="A247" s="118"/>
      <c r="B247" s="179"/>
      <c r="C247" s="179"/>
      <c r="D247" s="80"/>
      <c r="E247" s="80"/>
      <c r="F247" s="265"/>
      <c r="G247" s="80"/>
      <c r="H247" s="80"/>
      <c r="I247" s="180" t="str">
        <f>IF(COUNTIF(D248,"x")&gt;0,"x","")</f>
        <v>x</v>
      </c>
      <c r="J247" s="80"/>
      <c r="K247" s="80"/>
      <c r="L247" s="80"/>
    </row>
    <row r="248" spans="1:12" s="124" customFormat="1" ht="21" customHeight="1" thickBot="1">
      <c r="A248" s="251" t="s">
        <v>320</v>
      </c>
      <c r="B248" s="252"/>
      <c r="C248" s="252"/>
      <c r="D248" s="31" t="str">
        <f>IF('Variabelliste - velg tabeller'!C57="","",'Variabelliste - velg tabeller'!C57)</f>
        <v>x</v>
      </c>
      <c r="E248" s="212" t="s">
        <v>716</v>
      </c>
      <c r="F248" s="268"/>
      <c r="G248" s="249"/>
      <c r="H248" s="214"/>
      <c r="I248" s="27" t="str">
        <f>IF(COUNTIF(D249:D257,"x")&gt;0,"x","")</f>
        <v>x</v>
      </c>
      <c r="J248" s="39"/>
      <c r="K248" s="40" t="s">
        <v>326</v>
      </c>
      <c r="L248" s="40"/>
    </row>
    <row r="249" spans="1:12" s="119" customFormat="1" ht="14.25" customHeight="1">
      <c r="A249" s="132" t="s">
        <v>392</v>
      </c>
      <c r="B249" s="191"/>
      <c r="C249" s="191"/>
      <c r="D249" s="134" t="s">
        <v>738</v>
      </c>
      <c r="E249" s="152" t="s">
        <v>716</v>
      </c>
      <c r="F249" s="155"/>
      <c r="G249" s="304" t="s">
        <v>352</v>
      </c>
      <c r="H249" s="192" t="s">
        <v>179</v>
      </c>
      <c r="I249" s="27" t="str">
        <f>IF(COUNTIF(D249,"x")&gt;0,"x","")</f>
        <v>x</v>
      </c>
      <c r="J249" s="23" t="s">
        <v>390</v>
      </c>
      <c r="K249" s="34" t="s">
        <v>326</v>
      </c>
      <c r="L249" s="30"/>
    </row>
    <row r="250" spans="1:12" s="119" customFormat="1" ht="14.25" customHeight="1">
      <c r="A250" s="132" t="s">
        <v>68</v>
      </c>
      <c r="B250" s="191"/>
      <c r="C250" s="191"/>
      <c r="D250" s="134" t="s">
        <v>738</v>
      </c>
      <c r="E250" s="212" t="s">
        <v>716</v>
      </c>
      <c r="F250" s="155"/>
      <c r="G250" s="305"/>
      <c r="H250" s="192" t="s">
        <v>170</v>
      </c>
      <c r="I250" s="27" t="str">
        <f t="shared" ref="I250:I257" si="21">IF(COUNTIF(D250,"x")&gt;0,"x","")</f>
        <v>x</v>
      </c>
      <c r="J250" s="29"/>
      <c r="K250" s="34" t="s">
        <v>326</v>
      </c>
      <c r="L250" s="30"/>
    </row>
    <row r="251" spans="1:12" s="119" customFormat="1" ht="14.25" customHeight="1">
      <c r="A251" s="132" t="s">
        <v>71</v>
      </c>
      <c r="B251" s="191"/>
      <c r="C251" s="191"/>
      <c r="D251" s="215" t="str">
        <f>D248</f>
        <v>x</v>
      </c>
      <c r="E251" s="152" t="s">
        <v>716</v>
      </c>
      <c r="F251" s="155"/>
      <c r="G251" s="305"/>
      <c r="H251" s="192" t="s">
        <v>252</v>
      </c>
      <c r="I251" s="27" t="str">
        <f t="shared" si="21"/>
        <v>x</v>
      </c>
      <c r="J251" s="29"/>
      <c r="K251" s="34" t="s">
        <v>326</v>
      </c>
      <c r="L251" s="30"/>
    </row>
    <row r="252" spans="1:12" s="119" customFormat="1" ht="14.25" customHeight="1">
      <c r="A252" s="132" t="s">
        <v>72</v>
      </c>
      <c r="B252" s="191"/>
      <c r="C252" s="191"/>
      <c r="D252" s="134" t="s">
        <v>738</v>
      </c>
      <c r="E252" s="152" t="s">
        <v>708</v>
      </c>
      <c r="F252" s="155"/>
      <c r="G252" s="305"/>
      <c r="H252" s="192" t="s">
        <v>253</v>
      </c>
      <c r="I252" s="27" t="str">
        <f t="shared" si="21"/>
        <v>x</v>
      </c>
      <c r="J252" s="29"/>
      <c r="K252" s="34" t="s">
        <v>326</v>
      </c>
      <c r="L252" s="30"/>
    </row>
    <row r="253" spans="1:12" s="119" customFormat="1" ht="14.25" customHeight="1">
      <c r="A253" s="132" t="s">
        <v>73</v>
      </c>
      <c r="B253" s="191"/>
      <c r="C253" s="191"/>
      <c r="D253" s="134" t="s">
        <v>738</v>
      </c>
      <c r="E253" s="152" t="s">
        <v>708</v>
      </c>
      <c r="F253" s="155"/>
      <c r="G253" s="305"/>
      <c r="H253" s="192" t="s">
        <v>254</v>
      </c>
      <c r="I253" s="27" t="str">
        <f t="shared" si="21"/>
        <v>x</v>
      </c>
      <c r="J253" s="29"/>
      <c r="K253" s="34" t="s">
        <v>326</v>
      </c>
      <c r="L253" s="30"/>
    </row>
    <row r="254" spans="1:12" s="119" customFormat="1" ht="14.25" customHeight="1">
      <c r="A254" s="132" t="s">
        <v>74</v>
      </c>
      <c r="B254" s="191"/>
      <c r="C254" s="191"/>
      <c r="D254" s="134" t="s">
        <v>738</v>
      </c>
      <c r="E254" s="152" t="s">
        <v>716</v>
      </c>
      <c r="F254" s="155"/>
      <c r="G254" s="305"/>
      <c r="H254" s="192" t="s">
        <v>255</v>
      </c>
      <c r="I254" s="27" t="str">
        <f t="shared" si="21"/>
        <v>x</v>
      </c>
      <c r="J254" s="29"/>
      <c r="K254" s="34" t="s">
        <v>326</v>
      </c>
      <c r="L254" s="30"/>
    </row>
    <row r="255" spans="1:12" s="119" customFormat="1" ht="14.25" customHeight="1">
      <c r="A255" s="132" t="s">
        <v>75</v>
      </c>
      <c r="B255" s="191"/>
      <c r="C255" s="191"/>
      <c r="D255" s="134" t="s">
        <v>738</v>
      </c>
      <c r="E255" s="152" t="s">
        <v>716</v>
      </c>
      <c r="F255" s="155"/>
      <c r="G255" s="305"/>
      <c r="H255" s="192" t="s">
        <v>256</v>
      </c>
      <c r="I255" s="27" t="str">
        <f t="shared" si="21"/>
        <v>x</v>
      </c>
      <c r="J255" s="29"/>
      <c r="K255" s="34" t="s">
        <v>326</v>
      </c>
      <c r="L255" s="30"/>
    </row>
    <row r="256" spans="1:12" s="119" customFormat="1" ht="14.25" customHeight="1">
      <c r="A256" s="132" t="s">
        <v>76</v>
      </c>
      <c r="B256" s="191"/>
      <c r="C256" s="191"/>
      <c r="D256" s="134" t="s">
        <v>738</v>
      </c>
      <c r="E256" s="152" t="s">
        <v>716</v>
      </c>
      <c r="F256" s="155"/>
      <c r="G256" s="305"/>
      <c r="H256" s="192" t="s">
        <v>257</v>
      </c>
      <c r="I256" s="27" t="str">
        <f t="shared" si="21"/>
        <v>x</v>
      </c>
      <c r="J256" s="29"/>
      <c r="K256" s="34" t="s">
        <v>326</v>
      </c>
      <c r="L256" s="30"/>
    </row>
    <row r="257" spans="1:12" s="119" customFormat="1" ht="14.25" customHeight="1">
      <c r="A257" s="132" t="s">
        <v>77</v>
      </c>
      <c r="B257" s="191"/>
      <c r="C257" s="191"/>
      <c r="D257" s="215" t="str">
        <f>D248</f>
        <v>x</v>
      </c>
      <c r="E257" s="152" t="s">
        <v>716</v>
      </c>
      <c r="F257" s="155"/>
      <c r="G257" s="305"/>
      <c r="H257" s="192" t="s">
        <v>194</v>
      </c>
      <c r="I257" s="27" t="str">
        <f t="shared" si="21"/>
        <v>x</v>
      </c>
      <c r="J257" s="29"/>
      <c r="K257" s="34" t="s">
        <v>326</v>
      </c>
      <c r="L257" s="30"/>
    </row>
    <row r="258" spans="1:12" s="119" customFormat="1">
      <c r="A258" s="207"/>
      <c r="B258" s="193"/>
      <c r="C258" s="193"/>
      <c r="D258" s="134"/>
      <c r="E258" s="133"/>
      <c r="F258" s="155"/>
      <c r="G258" s="155"/>
      <c r="H258" s="194"/>
      <c r="I258" s="27"/>
      <c r="J258" s="29"/>
      <c r="K258" s="34"/>
      <c r="L258" s="30"/>
    </row>
    <row r="259" spans="1:12">
      <c r="A259" s="218" t="s">
        <v>425</v>
      </c>
      <c r="B259" s="211"/>
      <c r="C259" s="211"/>
      <c r="D259" s="140"/>
      <c r="E259" s="140"/>
      <c r="F259" s="267"/>
      <c r="G259" s="140"/>
      <c r="H259" s="140"/>
      <c r="I259" s="27"/>
      <c r="J259" s="37"/>
      <c r="K259" s="44"/>
      <c r="L259" s="38"/>
    </row>
    <row r="260" spans="1:12">
      <c r="A260" s="210"/>
      <c r="B260" s="211"/>
      <c r="C260" s="211"/>
      <c r="D260" s="140"/>
      <c r="E260" s="140"/>
      <c r="F260" s="267"/>
      <c r="G260" s="140"/>
      <c r="H260" s="140"/>
      <c r="I260" s="27"/>
      <c r="J260" s="37"/>
      <c r="K260" s="38"/>
      <c r="L260" s="38"/>
    </row>
    <row r="261" spans="1:12" ht="14.25" customHeight="1" thickBot="1">
      <c r="A261" s="118"/>
      <c r="B261" s="179"/>
      <c r="C261" s="179"/>
      <c r="D261" s="80"/>
      <c r="E261" s="80"/>
      <c r="F261" s="265"/>
      <c r="G261" s="80"/>
      <c r="H261" s="80"/>
      <c r="I261" s="180" t="str">
        <f>IF(COUNTIF(D262,"x")&gt;0,"x","")</f>
        <v>x</v>
      </c>
      <c r="J261" s="80"/>
      <c r="K261" s="80"/>
      <c r="L261" s="80"/>
    </row>
    <row r="262" spans="1:12" ht="21" customHeight="1" thickBot="1">
      <c r="A262" s="247" t="s">
        <v>701</v>
      </c>
      <c r="B262" s="248"/>
      <c r="C262" s="248"/>
      <c r="D262" s="31" t="str">
        <f>IF('Variabelliste - velg tabeller'!C62="",IF('Variabelliste - velg tabeller'!C67="","",'Variabelliste - velg tabeller'!C67),'Variabelliste - velg tabeller'!C62)</f>
        <v>x</v>
      </c>
      <c r="E262" s="152" t="s">
        <v>714</v>
      </c>
      <c r="F262" s="155"/>
      <c r="G262" s="249"/>
      <c r="H262" s="214"/>
      <c r="I262" s="27" t="str">
        <f>IF(COUNTIF(D263:D311,"x")&gt;0,"x","")</f>
        <v>x</v>
      </c>
      <c r="J262" s="39"/>
      <c r="K262" s="34" t="s">
        <v>113</v>
      </c>
      <c r="L262" s="30"/>
    </row>
    <row r="263" spans="1:12" s="119" customFormat="1" ht="14.25" customHeight="1">
      <c r="A263" s="253" t="s">
        <v>676</v>
      </c>
      <c r="B263" s="254"/>
      <c r="C263" s="254"/>
      <c r="D263" s="215" t="str">
        <f>D262</f>
        <v>x</v>
      </c>
      <c r="E263" s="152" t="s">
        <v>714</v>
      </c>
      <c r="F263" s="155"/>
      <c r="G263" s="304" t="s">
        <v>353</v>
      </c>
      <c r="H263" s="192" t="s">
        <v>258</v>
      </c>
      <c r="I263" s="27" t="str">
        <f>IF(COUNTIF(D263,"x")&gt;0,"x","")</f>
        <v>x</v>
      </c>
      <c r="J263" s="23" t="s">
        <v>390</v>
      </c>
      <c r="K263" s="34" t="s">
        <v>113</v>
      </c>
      <c r="L263" s="30"/>
    </row>
    <row r="264" spans="1:12" s="119" customFormat="1" ht="14.25" customHeight="1">
      <c r="A264" s="253" t="s">
        <v>78</v>
      </c>
      <c r="B264" s="254"/>
      <c r="C264" s="254"/>
      <c r="D264" s="134" t="s">
        <v>738</v>
      </c>
      <c r="E264" s="152" t="s">
        <v>714</v>
      </c>
      <c r="F264" s="155"/>
      <c r="G264" s="304"/>
      <c r="H264" s="192" t="s">
        <v>259</v>
      </c>
      <c r="I264" s="27" t="str">
        <f t="shared" ref="I264:I311" si="22">IF(COUNTIF(D264,"x")&gt;0,"x","")</f>
        <v>x</v>
      </c>
      <c r="J264" s="29"/>
      <c r="K264" s="34" t="s">
        <v>113</v>
      </c>
      <c r="L264" s="30"/>
    </row>
    <row r="265" spans="1:12" s="119" customFormat="1" ht="14.25" customHeight="1">
      <c r="A265" s="253" t="s">
        <v>79</v>
      </c>
      <c r="B265" s="254"/>
      <c r="C265" s="254"/>
      <c r="D265" s="134" t="s">
        <v>738</v>
      </c>
      <c r="E265" s="152" t="s">
        <v>714</v>
      </c>
      <c r="F265" s="155"/>
      <c r="G265" s="304"/>
      <c r="H265" s="192" t="s">
        <v>260</v>
      </c>
      <c r="I265" s="27" t="str">
        <f t="shared" si="22"/>
        <v>x</v>
      </c>
      <c r="J265" s="29"/>
      <c r="K265" s="34" t="s">
        <v>113</v>
      </c>
      <c r="L265" s="30"/>
    </row>
    <row r="266" spans="1:12" s="119" customFormat="1" ht="14.25" customHeight="1">
      <c r="A266" s="253" t="s">
        <v>80</v>
      </c>
      <c r="B266" s="254"/>
      <c r="C266" s="254"/>
      <c r="D266" s="134" t="s">
        <v>738</v>
      </c>
      <c r="E266" s="152" t="s">
        <v>714</v>
      </c>
      <c r="F266" s="155"/>
      <c r="G266" s="304"/>
      <c r="H266" s="192" t="s">
        <v>261</v>
      </c>
      <c r="I266" s="27" t="str">
        <f t="shared" si="22"/>
        <v>x</v>
      </c>
      <c r="J266" s="29"/>
      <c r="K266" s="34" t="s">
        <v>113</v>
      </c>
      <c r="L266" s="30"/>
    </row>
    <row r="267" spans="1:12" s="119" customFormat="1" ht="14.25" customHeight="1">
      <c r="A267" s="253" t="s">
        <v>81</v>
      </c>
      <c r="B267" s="254"/>
      <c r="C267" s="254"/>
      <c r="D267" s="134" t="s">
        <v>738</v>
      </c>
      <c r="E267" s="152" t="s">
        <v>714</v>
      </c>
      <c r="F267" s="155"/>
      <c r="G267" s="304"/>
      <c r="H267" s="192" t="s">
        <v>262</v>
      </c>
      <c r="I267" s="27" t="str">
        <f t="shared" si="22"/>
        <v>x</v>
      </c>
      <c r="J267" s="29"/>
      <c r="K267" s="34" t="s">
        <v>113</v>
      </c>
      <c r="L267" s="30"/>
    </row>
    <row r="268" spans="1:12" s="119" customFormat="1" ht="14.25" customHeight="1">
      <c r="A268" s="253" t="s">
        <v>82</v>
      </c>
      <c r="B268" s="254"/>
      <c r="C268" s="254"/>
      <c r="D268" s="134" t="s">
        <v>738</v>
      </c>
      <c r="E268" s="152" t="s">
        <v>714</v>
      </c>
      <c r="F268" s="155"/>
      <c r="G268" s="304"/>
      <c r="H268" s="192" t="s">
        <v>263</v>
      </c>
      <c r="I268" s="27" t="str">
        <f t="shared" si="22"/>
        <v>x</v>
      </c>
      <c r="J268" s="29"/>
      <c r="K268" s="34" t="s">
        <v>113</v>
      </c>
      <c r="L268" s="30"/>
    </row>
    <row r="269" spans="1:12" s="119" customFormat="1" ht="14.25" customHeight="1">
      <c r="A269" s="253" t="s">
        <v>83</v>
      </c>
      <c r="B269" s="254"/>
      <c r="C269" s="254"/>
      <c r="D269" s="134" t="s">
        <v>738</v>
      </c>
      <c r="E269" s="152" t="s">
        <v>714</v>
      </c>
      <c r="F269" s="155"/>
      <c r="G269" s="304"/>
      <c r="H269" s="192" t="s">
        <v>264</v>
      </c>
      <c r="I269" s="27" t="str">
        <f t="shared" si="22"/>
        <v>x</v>
      </c>
      <c r="J269" s="29"/>
      <c r="K269" s="34" t="s">
        <v>113</v>
      </c>
      <c r="L269" s="30"/>
    </row>
    <row r="270" spans="1:12" s="119" customFormat="1" ht="14.25" customHeight="1">
      <c r="A270" s="253" t="s">
        <v>84</v>
      </c>
      <c r="B270" s="254"/>
      <c r="C270" s="254"/>
      <c r="D270" s="134" t="s">
        <v>738</v>
      </c>
      <c r="E270" s="152" t="s">
        <v>714</v>
      </c>
      <c r="F270" s="155"/>
      <c r="G270" s="304"/>
      <c r="H270" s="192" t="s">
        <v>265</v>
      </c>
      <c r="I270" s="27" t="str">
        <f t="shared" si="22"/>
        <v>x</v>
      </c>
      <c r="J270" s="29"/>
      <c r="K270" s="34" t="s">
        <v>113</v>
      </c>
      <c r="L270" s="30"/>
    </row>
    <row r="271" spans="1:12" s="119" customFormat="1" ht="14.25" customHeight="1">
      <c r="A271" s="253" t="s">
        <v>85</v>
      </c>
      <c r="B271" s="254"/>
      <c r="C271" s="254"/>
      <c r="D271" s="134" t="s">
        <v>738</v>
      </c>
      <c r="E271" s="152" t="s">
        <v>714</v>
      </c>
      <c r="F271" s="155"/>
      <c r="G271" s="304"/>
      <c r="H271" s="192" t="s">
        <v>266</v>
      </c>
      <c r="I271" s="27" t="str">
        <f t="shared" si="22"/>
        <v>x</v>
      </c>
      <c r="J271" s="29"/>
      <c r="K271" s="34" t="s">
        <v>113</v>
      </c>
      <c r="L271" s="30"/>
    </row>
    <row r="272" spans="1:12" s="119" customFormat="1" ht="14.25" customHeight="1">
      <c r="A272" s="253" t="s">
        <v>86</v>
      </c>
      <c r="B272" s="254"/>
      <c r="C272" s="254"/>
      <c r="D272" s="134" t="s">
        <v>738</v>
      </c>
      <c r="E272" s="152" t="s">
        <v>714</v>
      </c>
      <c r="F272" s="155"/>
      <c r="G272" s="304"/>
      <c r="H272" s="192" t="s">
        <v>267</v>
      </c>
      <c r="I272" s="27" t="str">
        <f t="shared" si="22"/>
        <v>x</v>
      </c>
      <c r="J272" s="29"/>
      <c r="K272" s="34" t="s">
        <v>113</v>
      </c>
      <c r="L272" s="30"/>
    </row>
    <row r="273" spans="1:12" s="119" customFormat="1" ht="14.25" customHeight="1">
      <c r="A273" s="253" t="s">
        <v>87</v>
      </c>
      <c r="B273" s="254"/>
      <c r="C273" s="254"/>
      <c r="D273" s="134" t="s">
        <v>738</v>
      </c>
      <c r="E273" s="152" t="s">
        <v>714</v>
      </c>
      <c r="F273" s="155"/>
      <c r="G273" s="304"/>
      <c r="H273" s="192" t="s">
        <v>268</v>
      </c>
      <c r="I273" s="27" t="str">
        <f t="shared" si="22"/>
        <v>x</v>
      </c>
      <c r="J273" s="29"/>
      <c r="K273" s="34" t="s">
        <v>113</v>
      </c>
      <c r="L273" s="30"/>
    </row>
    <row r="274" spans="1:12" s="119" customFormat="1" ht="14.25" customHeight="1">
      <c r="A274" s="253" t="s">
        <v>88</v>
      </c>
      <c r="B274" s="254"/>
      <c r="C274" s="254"/>
      <c r="D274" s="134" t="s">
        <v>738</v>
      </c>
      <c r="E274" s="152" t="s">
        <v>714</v>
      </c>
      <c r="F274" s="155"/>
      <c r="G274" s="304"/>
      <c r="H274" s="192" t="s">
        <v>269</v>
      </c>
      <c r="I274" s="27" t="str">
        <f t="shared" si="22"/>
        <v>x</v>
      </c>
      <c r="J274" s="29"/>
      <c r="K274" s="34" t="s">
        <v>113</v>
      </c>
      <c r="L274" s="30"/>
    </row>
    <row r="275" spans="1:12" s="119" customFormat="1" ht="14.25" customHeight="1">
      <c r="A275" s="253" t="s">
        <v>89</v>
      </c>
      <c r="B275" s="254"/>
      <c r="C275" s="254"/>
      <c r="D275" s="134" t="s">
        <v>738</v>
      </c>
      <c r="E275" s="152" t="s">
        <v>714</v>
      </c>
      <c r="F275" s="155"/>
      <c r="G275" s="304"/>
      <c r="H275" s="192" t="s">
        <v>270</v>
      </c>
      <c r="I275" s="27" t="str">
        <f t="shared" si="22"/>
        <v>x</v>
      </c>
      <c r="J275" s="29"/>
      <c r="K275" s="34" t="s">
        <v>113</v>
      </c>
      <c r="L275" s="30"/>
    </row>
    <row r="276" spans="1:12" s="119" customFormat="1" ht="14.25" customHeight="1">
      <c r="A276" s="253" t="s">
        <v>90</v>
      </c>
      <c r="B276" s="254"/>
      <c r="C276" s="254"/>
      <c r="D276" s="134" t="s">
        <v>738</v>
      </c>
      <c r="E276" s="152" t="s">
        <v>714</v>
      </c>
      <c r="F276" s="155"/>
      <c r="G276" s="304"/>
      <c r="H276" s="192" t="s">
        <v>271</v>
      </c>
      <c r="I276" s="27" t="str">
        <f t="shared" si="22"/>
        <v>x</v>
      </c>
      <c r="J276" s="29"/>
      <c r="K276" s="34" t="s">
        <v>113</v>
      </c>
      <c r="L276" s="30"/>
    </row>
    <row r="277" spans="1:12" s="119" customFormat="1" ht="14.25" customHeight="1">
      <c r="A277" s="253" t="s">
        <v>91</v>
      </c>
      <c r="B277" s="254"/>
      <c r="C277" s="254"/>
      <c r="D277" s="134" t="s">
        <v>738</v>
      </c>
      <c r="E277" s="152" t="s">
        <v>714</v>
      </c>
      <c r="F277" s="155"/>
      <c r="G277" s="304"/>
      <c r="H277" s="192" t="s">
        <v>272</v>
      </c>
      <c r="I277" s="27" t="str">
        <f t="shared" si="22"/>
        <v>x</v>
      </c>
      <c r="J277" s="29"/>
      <c r="K277" s="34" t="s">
        <v>113</v>
      </c>
      <c r="L277" s="30"/>
    </row>
    <row r="278" spans="1:12" s="119" customFormat="1" ht="14.25" customHeight="1">
      <c r="A278" s="253" t="s">
        <v>92</v>
      </c>
      <c r="B278" s="254"/>
      <c r="C278" s="254"/>
      <c r="D278" s="134" t="s">
        <v>738</v>
      </c>
      <c r="E278" s="152" t="s">
        <v>714</v>
      </c>
      <c r="F278" s="155"/>
      <c r="G278" s="304"/>
      <c r="H278" s="192" t="s">
        <v>275</v>
      </c>
      <c r="I278" s="27" t="str">
        <f t="shared" si="22"/>
        <v>x</v>
      </c>
      <c r="J278" s="29"/>
      <c r="K278" s="34" t="s">
        <v>113</v>
      </c>
      <c r="L278" s="30"/>
    </row>
    <row r="279" spans="1:12" s="119" customFormat="1" ht="14.25" customHeight="1">
      <c r="A279" s="253" t="s">
        <v>93</v>
      </c>
      <c r="B279" s="254"/>
      <c r="C279" s="254"/>
      <c r="D279" s="134" t="s">
        <v>738</v>
      </c>
      <c r="E279" s="152" t="s">
        <v>714</v>
      </c>
      <c r="F279" s="155"/>
      <c r="G279" s="304"/>
      <c r="H279" s="192" t="s">
        <v>273</v>
      </c>
      <c r="I279" s="27" t="str">
        <f t="shared" si="22"/>
        <v>x</v>
      </c>
      <c r="J279" s="29"/>
      <c r="K279" s="34" t="s">
        <v>113</v>
      </c>
      <c r="L279" s="30"/>
    </row>
    <row r="280" spans="1:12" s="119" customFormat="1" ht="14.25" customHeight="1">
      <c r="A280" s="253" t="s">
        <v>94</v>
      </c>
      <c r="B280" s="254"/>
      <c r="C280" s="254"/>
      <c r="D280" s="134" t="s">
        <v>738</v>
      </c>
      <c r="E280" s="152" t="s">
        <v>714</v>
      </c>
      <c r="F280" s="155"/>
      <c r="G280" s="304"/>
      <c r="H280" s="192" t="s">
        <v>274</v>
      </c>
      <c r="I280" s="27" t="str">
        <f t="shared" si="22"/>
        <v>x</v>
      </c>
      <c r="J280" s="29"/>
      <c r="K280" s="34" t="s">
        <v>113</v>
      </c>
      <c r="L280" s="30"/>
    </row>
    <row r="281" spans="1:12" s="119" customFormat="1" ht="14.25" customHeight="1">
      <c r="A281" s="253" t="s">
        <v>95</v>
      </c>
      <c r="B281" s="254"/>
      <c r="C281" s="254"/>
      <c r="D281" s="134" t="s">
        <v>738</v>
      </c>
      <c r="E281" s="152" t="s">
        <v>714</v>
      </c>
      <c r="F281" s="155"/>
      <c r="G281" s="304"/>
      <c r="H281" s="192" t="s">
        <v>276</v>
      </c>
      <c r="I281" s="27" t="str">
        <f t="shared" si="22"/>
        <v>x</v>
      </c>
      <c r="J281" s="29"/>
      <c r="K281" s="34" t="s">
        <v>113</v>
      </c>
      <c r="L281" s="30"/>
    </row>
    <row r="282" spans="1:12" s="119" customFormat="1" ht="14.25" customHeight="1">
      <c r="A282" s="253" t="s">
        <v>96</v>
      </c>
      <c r="B282" s="254"/>
      <c r="C282" s="254"/>
      <c r="D282" s="134" t="s">
        <v>738</v>
      </c>
      <c r="E282" s="152" t="s">
        <v>714</v>
      </c>
      <c r="F282" s="155"/>
      <c r="G282" s="304"/>
      <c r="H282" s="192" t="s">
        <v>277</v>
      </c>
      <c r="I282" s="27" t="str">
        <f t="shared" si="22"/>
        <v>x</v>
      </c>
      <c r="J282" s="29"/>
      <c r="K282" s="34" t="s">
        <v>113</v>
      </c>
      <c r="L282" s="30"/>
    </row>
    <row r="283" spans="1:12" s="119" customFormat="1" ht="14.25" customHeight="1">
      <c r="A283" s="253" t="s">
        <v>97</v>
      </c>
      <c r="B283" s="254"/>
      <c r="C283" s="254"/>
      <c r="D283" s="134" t="s">
        <v>738</v>
      </c>
      <c r="E283" s="152" t="s">
        <v>714</v>
      </c>
      <c r="F283" s="155"/>
      <c r="G283" s="304"/>
      <c r="H283" s="192" t="s">
        <v>278</v>
      </c>
      <c r="I283" s="27" t="str">
        <f t="shared" si="22"/>
        <v>x</v>
      </c>
      <c r="J283" s="29"/>
      <c r="K283" s="34" t="s">
        <v>113</v>
      </c>
      <c r="L283" s="30"/>
    </row>
    <row r="284" spans="1:12" s="119" customFormat="1" ht="14.25" customHeight="1">
      <c r="A284" s="253" t="s">
        <v>98</v>
      </c>
      <c r="B284" s="254"/>
      <c r="C284" s="254"/>
      <c r="D284" s="134" t="s">
        <v>738</v>
      </c>
      <c r="E284" s="152" t="s">
        <v>714</v>
      </c>
      <c r="F284" s="155"/>
      <c r="G284" s="304"/>
      <c r="H284" s="192" t="s">
        <v>279</v>
      </c>
      <c r="I284" s="27" t="str">
        <f t="shared" si="22"/>
        <v>x</v>
      </c>
      <c r="J284" s="29"/>
      <c r="K284" s="34" t="s">
        <v>113</v>
      </c>
      <c r="L284" s="30"/>
    </row>
    <row r="285" spans="1:12" s="119" customFormat="1" ht="14.25" customHeight="1">
      <c r="A285" s="253" t="s">
        <v>99</v>
      </c>
      <c r="B285" s="254"/>
      <c r="C285" s="254"/>
      <c r="D285" s="134" t="s">
        <v>738</v>
      </c>
      <c r="E285" s="152" t="s">
        <v>714</v>
      </c>
      <c r="F285" s="155"/>
      <c r="G285" s="304"/>
      <c r="H285" s="192" t="s">
        <v>280</v>
      </c>
      <c r="I285" s="27" t="str">
        <f t="shared" si="22"/>
        <v>x</v>
      </c>
      <c r="J285" s="29"/>
      <c r="K285" s="34" t="s">
        <v>113</v>
      </c>
      <c r="L285" s="30"/>
    </row>
    <row r="286" spans="1:12" s="119" customFormat="1" ht="14.25" customHeight="1">
      <c r="A286" s="253" t="s">
        <v>100</v>
      </c>
      <c r="B286" s="254"/>
      <c r="C286" s="254"/>
      <c r="D286" s="134" t="s">
        <v>738</v>
      </c>
      <c r="E286" s="152" t="s">
        <v>714</v>
      </c>
      <c r="F286" s="155"/>
      <c r="G286" s="304"/>
      <c r="H286" s="192" t="s">
        <v>281</v>
      </c>
      <c r="I286" s="27" t="str">
        <f t="shared" si="22"/>
        <v>x</v>
      </c>
      <c r="J286" s="29"/>
      <c r="K286" s="34" t="s">
        <v>113</v>
      </c>
      <c r="L286" s="30"/>
    </row>
    <row r="287" spans="1:12" s="119" customFormat="1" ht="14.25" customHeight="1">
      <c r="A287" s="253" t="s">
        <v>101</v>
      </c>
      <c r="B287" s="254"/>
      <c r="C287" s="254"/>
      <c r="D287" s="134" t="s">
        <v>738</v>
      </c>
      <c r="E287" s="152" t="s">
        <v>714</v>
      </c>
      <c r="F287" s="155"/>
      <c r="G287" s="304"/>
      <c r="H287" s="192" t="s">
        <v>282</v>
      </c>
      <c r="I287" s="27" t="str">
        <f t="shared" si="22"/>
        <v>x</v>
      </c>
      <c r="J287" s="29"/>
      <c r="K287" s="34" t="s">
        <v>113</v>
      </c>
      <c r="L287" s="30"/>
    </row>
    <row r="288" spans="1:12" s="119" customFormat="1" ht="14.25" customHeight="1">
      <c r="A288" s="253" t="s">
        <v>102</v>
      </c>
      <c r="B288" s="254"/>
      <c r="C288" s="254"/>
      <c r="D288" s="134" t="s">
        <v>738</v>
      </c>
      <c r="E288" s="152" t="s">
        <v>714</v>
      </c>
      <c r="F288" s="155"/>
      <c r="G288" s="304"/>
      <c r="H288" s="192" t="s">
        <v>283</v>
      </c>
      <c r="I288" s="27" t="str">
        <f t="shared" si="22"/>
        <v>x</v>
      </c>
      <c r="J288" s="29"/>
      <c r="K288" s="34" t="s">
        <v>113</v>
      </c>
      <c r="L288" s="30"/>
    </row>
    <row r="289" spans="1:12" s="119" customFormat="1" ht="14.25" customHeight="1">
      <c r="A289" s="253" t="s">
        <v>587</v>
      </c>
      <c r="B289" s="254"/>
      <c r="C289" s="254"/>
      <c r="D289" s="134" t="s">
        <v>738</v>
      </c>
      <c r="E289" s="152" t="s">
        <v>715</v>
      </c>
      <c r="F289" s="155"/>
      <c r="G289" s="304"/>
      <c r="H289" s="192" t="s">
        <v>572</v>
      </c>
      <c r="I289" s="27" t="str">
        <f t="shared" si="22"/>
        <v>x</v>
      </c>
      <c r="J289" s="29"/>
      <c r="K289" s="34" t="s">
        <v>113</v>
      </c>
      <c r="L289" s="30"/>
    </row>
    <row r="290" spans="1:12" s="119" customFormat="1" ht="14.25" customHeight="1">
      <c r="A290" s="253" t="s">
        <v>588</v>
      </c>
      <c r="B290" s="254"/>
      <c r="C290" s="254"/>
      <c r="D290" s="134" t="s">
        <v>738</v>
      </c>
      <c r="E290" s="152" t="s">
        <v>715</v>
      </c>
      <c r="F290" s="155"/>
      <c r="G290" s="304"/>
      <c r="H290" s="192" t="s">
        <v>571</v>
      </c>
      <c r="I290" s="27" t="str">
        <f t="shared" si="22"/>
        <v>x</v>
      </c>
      <c r="J290" s="29"/>
      <c r="K290" s="34" t="s">
        <v>113</v>
      </c>
      <c r="L290" s="30"/>
    </row>
    <row r="291" spans="1:12" s="119" customFormat="1" ht="14.25" customHeight="1">
      <c r="A291" s="253" t="s">
        <v>586</v>
      </c>
      <c r="B291" s="254"/>
      <c r="C291" s="254"/>
      <c r="D291" s="134" t="s">
        <v>738</v>
      </c>
      <c r="E291" s="152" t="s">
        <v>715</v>
      </c>
      <c r="F291" s="155"/>
      <c r="G291" s="304"/>
      <c r="H291" s="192" t="s">
        <v>570</v>
      </c>
      <c r="I291" s="27" t="str">
        <f t="shared" si="22"/>
        <v>x</v>
      </c>
      <c r="J291" s="29"/>
      <c r="K291" s="34" t="s">
        <v>113</v>
      </c>
      <c r="L291" s="30"/>
    </row>
    <row r="292" spans="1:12" s="119" customFormat="1" ht="14.25" customHeight="1">
      <c r="A292" s="253" t="s">
        <v>585</v>
      </c>
      <c r="B292" s="254"/>
      <c r="C292" s="254"/>
      <c r="D292" s="134" t="s">
        <v>738</v>
      </c>
      <c r="E292" s="152" t="s">
        <v>715</v>
      </c>
      <c r="F292" s="155"/>
      <c r="G292" s="304"/>
      <c r="H292" s="192" t="s">
        <v>569</v>
      </c>
      <c r="I292" s="27" t="str">
        <f t="shared" si="22"/>
        <v>x</v>
      </c>
      <c r="J292" s="29"/>
      <c r="K292" s="34" t="s">
        <v>113</v>
      </c>
      <c r="L292" s="30"/>
    </row>
    <row r="293" spans="1:12" s="119" customFormat="1" ht="14.25" customHeight="1">
      <c r="A293" s="253" t="s">
        <v>584</v>
      </c>
      <c r="B293" s="254"/>
      <c r="C293" s="254"/>
      <c r="D293" s="134" t="s">
        <v>738</v>
      </c>
      <c r="E293" s="152" t="s">
        <v>715</v>
      </c>
      <c r="F293" s="155"/>
      <c r="G293" s="304"/>
      <c r="H293" s="192" t="s">
        <v>568</v>
      </c>
      <c r="I293" s="27" t="str">
        <f t="shared" si="22"/>
        <v>x</v>
      </c>
      <c r="J293" s="29"/>
      <c r="K293" s="34" t="s">
        <v>113</v>
      </c>
      <c r="L293" s="30"/>
    </row>
    <row r="294" spans="1:12" s="119" customFormat="1" ht="14.25" customHeight="1">
      <c r="A294" s="253" t="s">
        <v>583</v>
      </c>
      <c r="B294" s="254"/>
      <c r="C294" s="254"/>
      <c r="D294" s="134" t="s">
        <v>738</v>
      </c>
      <c r="E294" s="152" t="s">
        <v>715</v>
      </c>
      <c r="F294" s="155"/>
      <c r="G294" s="304"/>
      <c r="H294" s="192" t="s">
        <v>567</v>
      </c>
      <c r="I294" s="27" t="str">
        <f t="shared" si="22"/>
        <v>x</v>
      </c>
      <c r="J294" s="29"/>
      <c r="K294" s="34" t="s">
        <v>113</v>
      </c>
      <c r="L294" s="30"/>
    </row>
    <row r="295" spans="1:12" s="119" customFormat="1" ht="14.25" customHeight="1">
      <c r="A295" s="253" t="s">
        <v>581</v>
      </c>
      <c r="B295" s="254"/>
      <c r="C295" s="254"/>
      <c r="D295" s="134" t="s">
        <v>738</v>
      </c>
      <c r="E295" s="152" t="s">
        <v>715</v>
      </c>
      <c r="F295" s="155"/>
      <c r="G295" s="304"/>
      <c r="H295" s="192" t="s">
        <v>566</v>
      </c>
      <c r="I295" s="27" t="str">
        <f t="shared" si="22"/>
        <v>x</v>
      </c>
      <c r="J295" s="29"/>
      <c r="K295" s="34" t="s">
        <v>113</v>
      </c>
      <c r="L295" s="30"/>
    </row>
    <row r="296" spans="1:12" s="119" customFormat="1" ht="14.25" customHeight="1">
      <c r="A296" s="253" t="s">
        <v>582</v>
      </c>
      <c r="B296" s="254"/>
      <c r="C296" s="254"/>
      <c r="D296" s="134" t="s">
        <v>738</v>
      </c>
      <c r="E296" s="152" t="s">
        <v>715</v>
      </c>
      <c r="F296" s="155"/>
      <c r="G296" s="304"/>
      <c r="H296" s="192" t="s">
        <v>565</v>
      </c>
      <c r="I296" s="27" t="str">
        <f t="shared" si="22"/>
        <v>x</v>
      </c>
      <c r="J296" s="29"/>
      <c r="K296" s="34" t="s">
        <v>113</v>
      </c>
      <c r="L296" s="30"/>
    </row>
    <row r="297" spans="1:12" s="119" customFormat="1" ht="14.25" customHeight="1">
      <c r="A297" s="253" t="s">
        <v>103</v>
      </c>
      <c r="B297" s="254"/>
      <c r="C297" s="254"/>
      <c r="D297" s="215" t="str">
        <f>D262</f>
        <v>x</v>
      </c>
      <c r="E297" s="152" t="s">
        <v>714</v>
      </c>
      <c r="F297" s="155"/>
      <c r="G297" s="304"/>
      <c r="H297" s="192" t="s">
        <v>284</v>
      </c>
      <c r="I297" s="27" t="str">
        <f t="shared" si="22"/>
        <v>x</v>
      </c>
      <c r="J297" s="29"/>
      <c r="K297" s="34" t="s">
        <v>113</v>
      </c>
      <c r="L297" s="30"/>
    </row>
    <row r="298" spans="1:12" s="119" customFormat="1" ht="14.25" customHeight="1">
      <c r="A298" s="253" t="s">
        <v>104</v>
      </c>
      <c r="B298" s="254"/>
      <c r="C298" s="254"/>
      <c r="D298" s="134" t="s">
        <v>738</v>
      </c>
      <c r="E298" s="152" t="s">
        <v>714</v>
      </c>
      <c r="F298" s="155"/>
      <c r="G298" s="304"/>
      <c r="H298" s="192" t="s">
        <v>285</v>
      </c>
      <c r="I298" s="27" t="str">
        <f t="shared" si="22"/>
        <v>x</v>
      </c>
      <c r="J298" s="29"/>
      <c r="K298" s="34" t="s">
        <v>113</v>
      </c>
      <c r="L298" s="30"/>
    </row>
    <row r="299" spans="1:12" s="119" customFormat="1" ht="14.25" customHeight="1">
      <c r="A299" s="253" t="s">
        <v>105</v>
      </c>
      <c r="B299" s="254"/>
      <c r="C299" s="254"/>
      <c r="D299" s="134" t="s">
        <v>738</v>
      </c>
      <c r="E299" s="152" t="s">
        <v>714</v>
      </c>
      <c r="F299" s="155"/>
      <c r="G299" s="304"/>
      <c r="H299" s="192" t="s">
        <v>286</v>
      </c>
      <c r="I299" s="27" t="str">
        <f t="shared" si="22"/>
        <v>x</v>
      </c>
      <c r="J299" s="29"/>
      <c r="K299" s="34" t="s">
        <v>113</v>
      </c>
      <c r="L299" s="30"/>
    </row>
    <row r="300" spans="1:12" s="119" customFormat="1" ht="14.25" customHeight="1">
      <c r="A300" s="253" t="s">
        <v>106</v>
      </c>
      <c r="B300" s="254"/>
      <c r="C300" s="254"/>
      <c r="D300" s="134" t="s">
        <v>738</v>
      </c>
      <c r="E300" s="152" t="s">
        <v>714</v>
      </c>
      <c r="F300" s="155"/>
      <c r="G300" s="304"/>
      <c r="H300" s="192" t="s">
        <v>292</v>
      </c>
      <c r="I300" s="27" t="str">
        <f t="shared" si="22"/>
        <v>x</v>
      </c>
      <c r="J300" s="29"/>
      <c r="K300" s="34" t="s">
        <v>113</v>
      </c>
      <c r="L300" s="30"/>
    </row>
    <row r="301" spans="1:12" s="119" customFormat="1" ht="14.25" customHeight="1">
      <c r="A301" s="253" t="s">
        <v>107</v>
      </c>
      <c r="B301" s="254"/>
      <c r="C301" s="254"/>
      <c r="D301" s="134" t="s">
        <v>738</v>
      </c>
      <c r="E301" s="152" t="s">
        <v>714</v>
      </c>
      <c r="F301" s="155"/>
      <c r="G301" s="304"/>
      <c r="H301" s="192" t="s">
        <v>287</v>
      </c>
      <c r="I301" s="27" t="str">
        <f t="shared" si="22"/>
        <v>x</v>
      </c>
      <c r="J301" s="29"/>
      <c r="K301" s="34" t="s">
        <v>113</v>
      </c>
      <c r="L301" s="30"/>
    </row>
    <row r="302" spans="1:12" s="119" customFormat="1" ht="14.25" customHeight="1">
      <c r="A302" s="253" t="s">
        <v>108</v>
      </c>
      <c r="B302" s="254"/>
      <c r="C302" s="254"/>
      <c r="D302" s="134" t="s">
        <v>738</v>
      </c>
      <c r="E302" s="152" t="s">
        <v>714</v>
      </c>
      <c r="F302" s="155"/>
      <c r="G302" s="304"/>
      <c r="H302" s="192" t="s">
        <v>288</v>
      </c>
      <c r="I302" s="27" t="str">
        <f t="shared" si="22"/>
        <v>x</v>
      </c>
      <c r="J302" s="29"/>
      <c r="K302" s="34" t="s">
        <v>113</v>
      </c>
      <c r="L302" s="30"/>
    </row>
    <row r="303" spans="1:12" s="119" customFormat="1" ht="14.25" customHeight="1">
      <c r="A303" s="253" t="s">
        <v>109</v>
      </c>
      <c r="B303" s="254"/>
      <c r="C303" s="254"/>
      <c r="D303" s="134" t="s">
        <v>738</v>
      </c>
      <c r="E303" s="152" t="s">
        <v>714</v>
      </c>
      <c r="F303" s="155"/>
      <c r="G303" s="304"/>
      <c r="H303" s="192" t="s">
        <v>289</v>
      </c>
      <c r="I303" s="27" t="str">
        <f t="shared" si="22"/>
        <v>x</v>
      </c>
      <c r="J303" s="29"/>
      <c r="K303" s="34" t="s">
        <v>113</v>
      </c>
      <c r="L303" s="30"/>
    </row>
    <row r="304" spans="1:12" s="119" customFormat="1" ht="14.25" customHeight="1">
      <c r="A304" s="253" t="s">
        <v>110</v>
      </c>
      <c r="B304" s="254"/>
      <c r="C304" s="254"/>
      <c r="D304" s="134" t="s">
        <v>738</v>
      </c>
      <c r="E304" s="152" t="s">
        <v>714</v>
      </c>
      <c r="F304" s="155"/>
      <c r="G304" s="304"/>
      <c r="H304" s="192" t="s">
        <v>290</v>
      </c>
      <c r="I304" s="27" t="str">
        <f t="shared" si="22"/>
        <v>x</v>
      </c>
      <c r="J304" s="29"/>
      <c r="K304" s="34" t="s">
        <v>113</v>
      </c>
      <c r="L304" s="30"/>
    </row>
    <row r="305" spans="1:12" s="119" customFormat="1" ht="14.25" customHeight="1">
      <c r="A305" s="253" t="s">
        <v>111</v>
      </c>
      <c r="B305" s="254"/>
      <c r="C305" s="254"/>
      <c r="D305" s="134" t="s">
        <v>738</v>
      </c>
      <c r="E305" s="152" t="s">
        <v>714</v>
      </c>
      <c r="F305" s="155"/>
      <c r="G305" s="304"/>
      <c r="H305" s="192" t="s">
        <v>291</v>
      </c>
      <c r="I305" s="27" t="str">
        <f t="shared" si="22"/>
        <v>x</v>
      </c>
      <c r="J305" s="29"/>
      <c r="K305" s="34" t="s">
        <v>113</v>
      </c>
      <c r="L305" s="30"/>
    </row>
    <row r="306" spans="1:12" s="119" customFormat="1" ht="14.25" customHeight="1">
      <c r="A306" s="253" t="s">
        <v>589</v>
      </c>
      <c r="B306" s="254"/>
      <c r="C306" s="254"/>
      <c r="D306" s="134" t="s">
        <v>738</v>
      </c>
      <c r="E306" s="152" t="s">
        <v>715</v>
      </c>
      <c r="F306" s="155"/>
      <c r="G306" s="304"/>
      <c r="H306" s="192" t="s">
        <v>564</v>
      </c>
      <c r="I306" s="27" t="str">
        <f t="shared" si="22"/>
        <v>x</v>
      </c>
      <c r="J306" s="29"/>
      <c r="K306" s="34" t="s">
        <v>113</v>
      </c>
      <c r="L306" s="30"/>
    </row>
    <row r="307" spans="1:12" s="119" customFormat="1" ht="14.25" customHeight="1">
      <c r="A307" s="253" t="s">
        <v>580</v>
      </c>
      <c r="B307" s="254"/>
      <c r="C307" s="254"/>
      <c r="D307" s="134" t="s">
        <v>738</v>
      </c>
      <c r="E307" s="152" t="s">
        <v>715</v>
      </c>
      <c r="F307" s="155"/>
      <c r="G307" s="304"/>
      <c r="H307" s="192" t="s">
        <v>563</v>
      </c>
      <c r="I307" s="27" t="str">
        <f t="shared" si="22"/>
        <v>x</v>
      </c>
      <c r="J307" s="29"/>
      <c r="K307" s="34" t="s">
        <v>113</v>
      </c>
      <c r="L307" s="30"/>
    </row>
    <row r="308" spans="1:12" s="119" customFormat="1" ht="14.25" customHeight="1">
      <c r="A308" s="253" t="s">
        <v>112</v>
      </c>
      <c r="B308" s="254"/>
      <c r="C308" s="254"/>
      <c r="D308" s="134" t="s">
        <v>738</v>
      </c>
      <c r="E308" s="152" t="s">
        <v>714</v>
      </c>
      <c r="F308" s="155"/>
      <c r="G308" s="304"/>
      <c r="H308" s="192" t="s">
        <v>293</v>
      </c>
      <c r="I308" s="27" t="str">
        <f t="shared" si="22"/>
        <v>x</v>
      </c>
      <c r="J308" s="29"/>
      <c r="K308" s="34" t="s">
        <v>113</v>
      </c>
      <c r="L308" s="30"/>
    </row>
    <row r="309" spans="1:12" s="119" customFormat="1" ht="14.25" customHeight="1">
      <c r="A309" s="253" t="s">
        <v>393</v>
      </c>
      <c r="B309" s="254"/>
      <c r="C309" s="254"/>
      <c r="D309" s="134" t="s">
        <v>738</v>
      </c>
      <c r="E309" s="152" t="s">
        <v>714</v>
      </c>
      <c r="F309" s="155"/>
      <c r="G309" s="304"/>
      <c r="H309" s="192" t="s">
        <v>179</v>
      </c>
      <c r="I309" s="27" t="str">
        <f t="shared" si="22"/>
        <v>x</v>
      </c>
      <c r="J309" s="23" t="s">
        <v>390</v>
      </c>
      <c r="K309" s="34" t="s">
        <v>113</v>
      </c>
      <c r="L309" s="30"/>
    </row>
    <row r="310" spans="1:12" s="119" customFormat="1" ht="14.25" customHeight="1">
      <c r="A310" s="253" t="s">
        <v>68</v>
      </c>
      <c r="B310" s="254"/>
      <c r="C310" s="254"/>
      <c r="D310" s="134" t="s">
        <v>738</v>
      </c>
      <c r="E310" s="152" t="s">
        <v>714</v>
      </c>
      <c r="F310" s="155"/>
      <c r="G310" s="304"/>
      <c r="H310" s="192" t="s">
        <v>170</v>
      </c>
      <c r="I310" s="27" t="str">
        <f t="shared" si="22"/>
        <v>x</v>
      </c>
      <c r="J310" s="29"/>
      <c r="K310" s="34" t="s">
        <v>113</v>
      </c>
      <c r="L310" s="30"/>
    </row>
    <row r="311" spans="1:12" s="119" customFormat="1" ht="14.25" customHeight="1">
      <c r="A311" s="253" t="s">
        <v>69</v>
      </c>
      <c r="B311" s="254"/>
      <c r="C311" s="254"/>
      <c r="D311" s="134" t="s">
        <v>738</v>
      </c>
      <c r="E311" s="152" t="s">
        <v>714</v>
      </c>
      <c r="F311" s="155"/>
      <c r="G311" s="304"/>
      <c r="H311" s="192" t="s">
        <v>171</v>
      </c>
      <c r="I311" s="27" t="str">
        <f t="shared" si="22"/>
        <v>x</v>
      </c>
      <c r="J311" s="29"/>
      <c r="K311" s="34" t="s">
        <v>113</v>
      </c>
      <c r="L311" s="30"/>
    </row>
    <row r="312" spans="1:12" s="119" customFormat="1" ht="14.25" customHeight="1">
      <c r="A312" s="253" t="s">
        <v>704</v>
      </c>
      <c r="B312" s="254"/>
      <c r="C312" s="254"/>
      <c r="D312" s="134" t="s">
        <v>738</v>
      </c>
      <c r="E312" s="133">
        <v>2018</v>
      </c>
      <c r="F312" s="155"/>
      <c r="G312" s="304"/>
      <c r="H312" s="192" t="s">
        <v>703</v>
      </c>
      <c r="I312" s="27"/>
      <c r="J312" s="29"/>
      <c r="K312" s="34"/>
      <c r="L312" s="30"/>
    </row>
    <row r="313" spans="1:12" s="119" customFormat="1">
      <c r="A313" s="207"/>
      <c r="B313" s="193"/>
      <c r="C313" s="193"/>
      <c r="D313" s="134"/>
      <c r="E313" s="133"/>
      <c r="F313" s="155"/>
      <c r="G313" s="155"/>
      <c r="H313" s="194"/>
      <c r="I313" s="27"/>
      <c r="J313" s="29"/>
      <c r="K313" s="34"/>
      <c r="L313" s="30"/>
    </row>
    <row r="314" spans="1:12">
      <c r="A314" s="218" t="s">
        <v>425</v>
      </c>
      <c r="B314" s="211"/>
      <c r="C314" s="211"/>
      <c r="D314" s="140"/>
      <c r="E314" s="140"/>
      <c r="F314" s="267"/>
      <c r="G314" s="140"/>
      <c r="H314" s="140"/>
      <c r="I314" s="27" t="str">
        <f t="shared" ref="I314:I315" si="23">IF(COUNTIF(B314:D314,"x")&gt;0,"x","")</f>
        <v/>
      </c>
      <c r="J314" s="37"/>
      <c r="K314" s="38"/>
      <c r="L314" s="38"/>
    </row>
    <row r="315" spans="1:12">
      <c r="A315" s="210"/>
      <c r="B315" s="211"/>
      <c r="C315" s="211"/>
      <c r="D315" s="140"/>
      <c r="E315" s="140"/>
      <c r="F315" s="267"/>
      <c r="G315" s="140"/>
      <c r="H315" s="140"/>
      <c r="I315" s="27" t="str">
        <f t="shared" si="23"/>
        <v/>
      </c>
      <c r="J315" s="37"/>
      <c r="K315" s="38"/>
      <c r="L315" s="38"/>
    </row>
    <row r="316" spans="1:12" ht="14.25" customHeight="1" thickBot="1">
      <c r="A316" s="118"/>
      <c r="B316" s="179"/>
      <c r="C316" s="179"/>
      <c r="D316" s="80"/>
      <c r="E316" s="80"/>
      <c r="F316" s="265"/>
      <c r="G316" s="80"/>
      <c r="H316" s="80"/>
      <c r="I316" s="180" t="str">
        <f>IF(COUNTIF(D317,"x")&gt;0,"x","")</f>
        <v>x</v>
      </c>
      <c r="J316" s="80"/>
      <c r="K316" s="80"/>
      <c r="L316" s="80"/>
    </row>
    <row r="317" spans="1:12" ht="21" customHeight="1" thickBot="1">
      <c r="A317" s="247" t="s">
        <v>702</v>
      </c>
      <c r="B317" s="248"/>
      <c r="C317" s="248"/>
      <c r="D317" s="31" t="str">
        <f>IF('Variabelliste - velg tabeller'!C67="","",'Variabelliste - velg tabeller'!C67)</f>
        <v>x</v>
      </c>
      <c r="E317" s="152" t="s">
        <v>714</v>
      </c>
      <c r="F317" s="155"/>
      <c r="G317" s="249"/>
      <c r="H317" s="214"/>
      <c r="I317" s="27" t="str">
        <f>IF(COUNTIF(D318:D326,"x")&gt;0,"x","")</f>
        <v>x</v>
      </c>
      <c r="J317" s="39" t="s">
        <v>620</v>
      </c>
      <c r="K317" s="34" t="s">
        <v>120</v>
      </c>
      <c r="L317" s="30"/>
    </row>
    <row r="318" spans="1:12" s="119" customFormat="1" ht="14.25" customHeight="1">
      <c r="A318" s="253" t="s">
        <v>675</v>
      </c>
      <c r="B318" s="254"/>
      <c r="C318" s="254"/>
      <c r="D318" s="215" t="str">
        <f>D317</f>
        <v>x</v>
      </c>
      <c r="E318" s="152" t="s">
        <v>714</v>
      </c>
      <c r="F318" s="155"/>
      <c r="G318" s="304" t="s">
        <v>354</v>
      </c>
      <c r="H318" s="192" t="s">
        <v>258</v>
      </c>
      <c r="I318" s="27" t="str">
        <f>IF(COUNTIF(D318,"x")&gt;0,"x","")</f>
        <v>x</v>
      </c>
      <c r="J318" s="23" t="s">
        <v>390</v>
      </c>
      <c r="K318" s="34" t="s">
        <v>120</v>
      </c>
      <c r="L318" s="30"/>
    </row>
    <row r="319" spans="1:12" s="119" customFormat="1" ht="14.25" customHeight="1">
      <c r="A319" s="253" t="s">
        <v>114</v>
      </c>
      <c r="B319" s="254"/>
      <c r="C319" s="254"/>
      <c r="D319" s="215" t="str">
        <f>D317</f>
        <v>x</v>
      </c>
      <c r="E319" s="152" t="s">
        <v>714</v>
      </c>
      <c r="F319" s="155"/>
      <c r="G319" s="305"/>
      <c r="H319" s="192" t="s">
        <v>252</v>
      </c>
      <c r="I319" s="27" t="str">
        <f t="shared" ref="I319:I326" si="24">IF(COUNTIF(D319,"x")&gt;0,"x","")</f>
        <v>x</v>
      </c>
      <c r="J319" s="29"/>
      <c r="K319" s="34" t="s">
        <v>120</v>
      </c>
      <c r="L319" s="30"/>
    </row>
    <row r="320" spans="1:12" s="119" customFormat="1" ht="14.25" customHeight="1">
      <c r="A320" s="253" t="s">
        <v>115</v>
      </c>
      <c r="B320" s="254"/>
      <c r="C320" s="254"/>
      <c r="D320" s="134" t="s">
        <v>738</v>
      </c>
      <c r="E320" s="152" t="s">
        <v>714</v>
      </c>
      <c r="F320" s="155"/>
      <c r="G320" s="305"/>
      <c r="H320" s="192" t="s">
        <v>294</v>
      </c>
      <c r="I320" s="27" t="str">
        <f t="shared" si="24"/>
        <v>x</v>
      </c>
      <c r="J320" s="29"/>
      <c r="K320" s="34" t="s">
        <v>120</v>
      </c>
      <c r="L320" s="30"/>
    </row>
    <row r="321" spans="1:12" s="119" customFormat="1" ht="14.25" customHeight="1">
      <c r="A321" s="253" t="s">
        <v>74</v>
      </c>
      <c r="B321" s="254"/>
      <c r="C321" s="254"/>
      <c r="D321" s="134" t="s">
        <v>738</v>
      </c>
      <c r="E321" s="152" t="s">
        <v>714</v>
      </c>
      <c r="F321" s="155"/>
      <c r="G321" s="305"/>
      <c r="H321" s="192" t="s">
        <v>295</v>
      </c>
      <c r="I321" s="27" t="str">
        <f t="shared" si="24"/>
        <v>x</v>
      </c>
      <c r="J321" s="29"/>
      <c r="K321" s="34" t="s">
        <v>120</v>
      </c>
      <c r="L321" s="30"/>
    </row>
    <row r="322" spans="1:12" s="119" customFormat="1" ht="14.25" customHeight="1">
      <c r="A322" s="253" t="s">
        <v>116</v>
      </c>
      <c r="B322" s="254"/>
      <c r="C322" s="254"/>
      <c r="D322" s="134" t="s">
        <v>738</v>
      </c>
      <c r="E322" s="152" t="s">
        <v>714</v>
      </c>
      <c r="F322" s="155"/>
      <c r="G322" s="305"/>
      <c r="H322" s="192" t="s">
        <v>296</v>
      </c>
      <c r="I322" s="27" t="str">
        <f t="shared" si="24"/>
        <v>x</v>
      </c>
      <c r="J322" s="29"/>
      <c r="K322" s="34" t="s">
        <v>120</v>
      </c>
      <c r="L322" s="30"/>
    </row>
    <row r="323" spans="1:12" s="119" customFormat="1" ht="14.25" customHeight="1">
      <c r="A323" s="253" t="s">
        <v>117</v>
      </c>
      <c r="B323" s="254"/>
      <c r="C323" s="254"/>
      <c r="D323" s="134" t="s">
        <v>738</v>
      </c>
      <c r="E323" s="152" t="s">
        <v>714</v>
      </c>
      <c r="F323" s="155"/>
      <c r="G323" s="305"/>
      <c r="H323" s="192" t="s">
        <v>297</v>
      </c>
      <c r="I323" s="27" t="str">
        <f t="shared" si="24"/>
        <v>x</v>
      </c>
      <c r="J323" s="29"/>
      <c r="K323" s="34" t="s">
        <v>120</v>
      </c>
      <c r="L323" s="30"/>
    </row>
    <row r="324" spans="1:12" s="119" customFormat="1" ht="14.25" customHeight="1">
      <c r="A324" s="253" t="s">
        <v>118</v>
      </c>
      <c r="B324" s="254"/>
      <c r="C324" s="254"/>
      <c r="D324" s="134" t="s">
        <v>738</v>
      </c>
      <c r="E324" s="152" t="s">
        <v>714</v>
      </c>
      <c r="F324" s="155"/>
      <c r="G324" s="305"/>
      <c r="H324" s="192" t="s">
        <v>298</v>
      </c>
      <c r="I324" s="27" t="str">
        <f t="shared" si="24"/>
        <v>x</v>
      </c>
      <c r="J324" s="29"/>
      <c r="K324" s="34" t="s">
        <v>120</v>
      </c>
      <c r="L324" s="30"/>
    </row>
    <row r="325" spans="1:12" s="119" customFormat="1" ht="14.25" customHeight="1">
      <c r="A325" s="253" t="s">
        <v>119</v>
      </c>
      <c r="B325" s="254"/>
      <c r="C325" s="254"/>
      <c r="D325" s="134" t="s">
        <v>738</v>
      </c>
      <c r="E325" s="152" t="s">
        <v>714</v>
      </c>
      <c r="F325" s="155"/>
      <c r="G325" s="305"/>
      <c r="H325" s="192" t="s">
        <v>299</v>
      </c>
      <c r="I325" s="27" t="str">
        <f t="shared" si="24"/>
        <v>x</v>
      </c>
      <c r="J325" s="29"/>
      <c r="K325" s="34" t="s">
        <v>120</v>
      </c>
      <c r="L325" s="30"/>
    </row>
    <row r="326" spans="1:12" s="119" customFormat="1" ht="14.25" customHeight="1">
      <c r="A326" s="253" t="s">
        <v>392</v>
      </c>
      <c r="B326" s="254"/>
      <c r="C326" s="254"/>
      <c r="D326" s="134" t="s">
        <v>738</v>
      </c>
      <c r="E326" s="152" t="s">
        <v>714</v>
      </c>
      <c r="F326" s="155"/>
      <c r="G326" s="305"/>
      <c r="H326" s="192" t="s">
        <v>179</v>
      </c>
      <c r="I326" s="27" t="str">
        <f t="shared" si="24"/>
        <v>x</v>
      </c>
      <c r="J326" s="23" t="s">
        <v>390</v>
      </c>
      <c r="K326" s="34" t="s">
        <v>120</v>
      </c>
      <c r="L326" s="30"/>
    </row>
    <row r="327" spans="1:12" s="119" customFormat="1">
      <c r="A327" s="207"/>
      <c r="B327" s="193"/>
      <c r="C327" s="193"/>
      <c r="D327" s="134"/>
      <c r="E327" s="133"/>
      <c r="F327" s="155"/>
      <c r="G327" s="155"/>
      <c r="H327" s="194"/>
      <c r="I327" s="27"/>
      <c r="J327" s="29"/>
      <c r="K327" s="34"/>
      <c r="L327" s="30"/>
    </row>
    <row r="328" spans="1:12">
      <c r="A328" s="146" t="s">
        <v>425</v>
      </c>
      <c r="B328" s="211"/>
      <c r="C328" s="211"/>
      <c r="D328" s="140"/>
      <c r="E328" s="140"/>
      <c r="F328" s="267"/>
      <c r="G328" s="140"/>
      <c r="H328" s="140"/>
      <c r="I328" s="27"/>
      <c r="J328" s="37"/>
      <c r="K328" s="38"/>
      <c r="L328" s="38"/>
    </row>
    <row r="329" spans="1:12">
      <c r="A329" s="210"/>
      <c r="B329" s="211"/>
      <c r="C329" s="211"/>
      <c r="D329" s="140"/>
      <c r="E329" s="140"/>
      <c r="F329" s="267"/>
      <c r="G329" s="140"/>
      <c r="H329" s="140"/>
      <c r="I329" s="27"/>
      <c r="J329" s="37"/>
      <c r="K329" s="38"/>
      <c r="L329" s="38"/>
    </row>
    <row r="330" spans="1:12" ht="14.25" customHeight="1" thickBot="1">
      <c r="A330" s="118"/>
      <c r="B330" s="179"/>
      <c r="C330" s="179"/>
      <c r="D330" s="80"/>
      <c r="E330" s="80"/>
      <c r="F330" s="265"/>
      <c r="G330" s="80"/>
      <c r="H330" s="80"/>
      <c r="I330" s="180" t="str">
        <f>IF(COUNTIF(D331,"x")&gt;0,"x","")</f>
        <v>x</v>
      </c>
      <c r="J330" s="80"/>
      <c r="K330" s="80"/>
      <c r="L330" s="80"/>
    </row>
    <row r="331" spans="1:12" ht="21" customHeight="1" thickBot="1">
      <c r="A331" s="247" t="s">
        <v>368</v>
      </c>
      <c r="B331" s="248"/>
      <c r="C331" s="248"/>
      <c r="D331" s="31" t="str">
        <f>IF('Variabelliste - velg tabeller'!C72="","",'Variabelliste - velg tabeller'!C72)</f>
        <v>x</v>
      </c>
      <c r="E331" s="152" t="s">
        <v>711</v>
      </c>
      <c r="F331" s="155"/>
      <c r="G331" s="249"/>
      <c r="H331" s="214"/>
      <c r="I331" s="27" t="str">
        <f>IF(COUNTIF(D332:D342,"x")&gt;0,"x","")</f>
        <v>x</v>
      </c>
      <c r="J331" s="39"/>
      <c r="K331" s="34" t="s">
        <v>300</v>
      </c>
      <c r="L331" s="30"/>
    </row>
    <row r="332" spans="1:12" s="119" customFormat="1" ht="14.25" customHeight="1">
      <c r="A332" s="253" t="s">
        <v>121</v>
      </c>
      <c r="B332" s="254"/>
      <c r="C332" s="254"/>
      <c r="D332" s="215" t="str">
        <f>D331</f>
        <v>x</v>
      </c>
      <c r="E332" s="152" t="s">
        <v>711</v>
      </c>
      <c r="F332" s="155"/>
      <c r="G332" s="304" t="s">
        <v>356</v>
      </c>
      <c r="H332" s="192" t="s">
        <v>301</v>
      </c>
      <c r="I332" s="27" t="str">
        <f>IF(COUNTIF(D332,"x")&gt;0,"x","")</f>
        <v>x</v>
      </c>
      <c r="J332" s="29"/>
      <c r="K332" s="34" t="s">
        <v>300</v>
      </c>
      <c r="L332" s="30"/>
    </row>
    <row r="333" spans="1:12" s="119" customFormat="1" ht="14.25" customHeight="1">
      <c r="A333" s="253" t="s">
        <v>392</v>
      </c>
      <c r="B333" s="254"/>
      <c r="C333" s="254"/>
      <c r="D333" s="134" t="s">
        <v>738</v>
      </c>
      <c r="E333" s="152" t="s">
        <v>713</v>
      </c>
      <c r="F333" s="155"/>
      <c r="G333" s="305"/>
      <c r="H333" s="192" t="s">
        <v>179</v>
      </c>
      <c r="I333" s="27" t="str">
        <f t="shared" ref="I333:I342" si="25">IF(COUNTIF(D333,"x")&gt;0,"x","")</f>
        <v>x</v>
      </c>
      <c r="J333" s="23" t="s">
        <v>390</v>
      </c>
      <c r="K333" s="34" t="s">
        <v>300</v>
      </c>
      <c r="L333" s="30"/>
    </row>
    <row r="334" spans="1:12" s="119" customFormat="1" ht="14.25" customHeight="1">
      <c r="A334" s="253" t="s">
        <v>122</v>
      </c>
      <c r="B334" s="254"/>
      <c r="C334" s="254"/>
      <c r="D334" s="134" t="s">
        <v>738</v>
      </c>
      <c r="E334" s="152" t="s">
        <v>712</v>
      </c>
      <c r="F334" s="155"/>
      <c r="G334" s="305"/>
      <c r="H334" s="192" t="s">
        <v>302</v>
      </c>
      <c r="I334" s="27" t="str">
        <f>IF(COUNTIF(D334,"x")&gt;0,"x","")</f>
        <v>x</v>
      </c>
      <c r="J334" s="29"/>
      <c r="K334" s="34" t="s">
        <v>300</v>
      </c>
      <c r="L334" s="30"/>
    </row>
    <row r="335" spans="1:12" s="119" customFormat="1" ht="14.25" customHeight="1">
      <c r="A335" s="253" t="s">
        <v>114</v>
      </c>
      <c r="B335" s="254"/>
      <c r="C335" s="254"/>
      <c r="D335" s="215" t="str">
        <f>D331</f>
        <v>x</v>
      </c>
      <c r="E335" s="152" t="s">
        <v>711</v>
      </c>
      <c r="F335" s="155"/>
      <c r="G335" s="305"/>
      <c r="H335" s="192" t="s">
        <v>252</v>
      </c>
      <c r="I335" s="27" t="str">
        <f t="shared" si="25"/>
        <v>x</v>
      </c>
      <c r="J335" s="29"/>
      <c r="K335" s="34" t="s">
        <v>300</v>
      </c>
      <c r="L335" s="30"/>
    </row>
    <row r="336" spans="1:12" s="119" customFormat="1" ht="14.25" customHeight="1">
      <c r="A336" s="253" t="s">
        <v>123</v>
      </c>
      <c r="B336" s="254"/>
      <c r="C336" s="254"/>
      <c r="D336" s="134" t="s">
        <v>738</v>
      </c>
      <c r="E336" s="152" t="s">
        <v>711</v>
      </c>
      <c r="F336" s="155"/>
      <c r="G336" s="305"/>
      <c r="H336" s="192" t="s">
        <v>257</v>
      </c>
      <c r="I336" s="27" t="str">
        <f t="shared" si="25"/>
        <v>x</v>
      </c>
      <c r="J336" s="29"/>
      <c r="K336" s="34" t="s">
        <v>300</v>
      </c>
      <c r="L336" s="30"/>
    </row>
    <row r="337" spans="1:12" s="119" customFormat="1" ht="14.25" customHeight="1">
      <c r="A337" s="253" t="s">
        <v>124</v>
      </c>
      <c r="B337" s="254"/>
      <c r="C337" s="254"/>
      <c r="D337" s="134" t="s">
        <v>738</v>
      </c>
      <c r="E337" s="152" t="s">
        <v>711</v>
      </c>
      <c r="F337" s="155"/>
      <c r="G337" s="305"/>
      <c r="H337" s="192" t="s">
        <v>256</v>
      </c>
      <c r="I337" s="27" t="str">
        <f t="shared" si="25"/>
        <v>x</v>
      </c>
      <c r="J337" s="29"/>
      <c r="K337" s="34" t="s">
        <v>300</v>
      </c>
      <c r="L337" s="30"/>
    </row>
    <row r="338" spans="1:12" s="119" customFormat="1" ht="14.25" customHeight="1">
      <c r="A338" s="253" t="s">
        <v>74</v>
      </c>
      <c r="B338" s="254"/>
      <c r="C338" s="254"/>
      <c r="D338" s="134" t="s">
        <v>738</v>
      </c>
      <c r="E338" s="152" t="s">
        <v>711</v>
      </c>
      <c r="F338" s="155"/>
      <c r="G338" s="305"/>
      <c r="H338" s="192" t="s">
        <v>255</v>
      </c>
      <c r="I338" s="27" t="str">
        <f t="shared" si="25"/>
        <v>x</v>
      </c>
      <c r="J338" s="29"/>
      <c r="K338" s="34" t="s">
        <v>300</v>
      </c>
      <c r="L338" s="30"/>
    </row>
    <row r="339" spans="1:12" s="119" customFormat="1" ht="14.25" customHeight="1">
      <c r="A339" s="253" t="s">
        <v>125</v>
      </c>
      <c r="B339" s="254"/>
      <c r="C339" s="254"/>
      <c r="D339" s="134" t="s">
        <v>738</v>
      </c>
      <c r="E339" s="152" t="s">
        <v>711</v>
      </c>
      <c r="F339" s="155"/>
      <c r="G339" s="305"/>
      <c r="H339" s="192" t="s">
        <v>253</v>
      </c>
      <c r="I339" s="27" t="str">
        <f t="shared" si="25"/>
        <v>x</v>
      </c>
      <c r="J339" s="29"/>
      <c r="K339" s="34" t="s">
        <v>300</v>
      </c>
      <c r="L339" s="30"/>
    </row>
    <row r="340" spans="1:12" s="119" customFormat="1" ht="14.25" customHeight="1">
      <c r="A340" s="253" t="s">
        <v>126</v>
      </c>
      <c r="B340" s="254"/>
      <c r="C340" s="254"/>
      <c r="D340" s="134" t="s">
        <v>738</v>
      </c>
      <c r="E340" s="152" t="s">
        <v>711</v>
      </c>
      <c r="F340" s="155"/>
      <c r="G340" s="305"/>
      <c r="H340" s="192" t="s">
        <v>254</v>
      </c>
      <c r="I340" s="27" t="str">
        <f t="shared" si="25"/>
        <v>x</v>
      </c>
      <c r="J340" s="29"/>
      <c r="K340" s="34" t="s">
        <v>300</v>
      </c>
      <c r="L340" s="30"/>
    </row>
    <row r="341" spans="1:12" s="119" customFormat="1" ht="14.25" customHeight="1">
      <c r="A341" s="253" t="s">
        <v>127</v>
      </c>
      <c r="B341" s="254"/>
      <c r="C341" s="254"/>
      <c r="D341" s="134" t="s">
        <v>738</v>
      </c>
      <c r="E341" s="152" t="s">
        <v>710</v>
      </c>
      <c r="F341" s="155"/>
      <c r="G341" s="305"/>
      <c r="H341" s="192" t="s">
        <v>303</v>
      </c>
      <c r="I341" s="27" t="str">
        <f t="shared" si="25"/>
        <v>x</v>
      </c>
      <c r="J341" s="29"/>
      <c r="K341" s="34" t="s">
        <v>300</v>
      </c>
      <c r="L341" s="30"/>
    </row>
    <row r="342" spans="1:12" s="119" customFormat="1" ht="14.25" customHeight="1">
      <c r="A342" s="253" t="s">
        <v>128</v>
      </c>
      <c r="B342" s="254"/>
      <c r="C342" s="254"/>
      <c r="D342" s="134" t="s">
        <v>738</v>
      </c>
      <c r="E342" s="152" t="s">
        <v>709</v>
      </c>
      <c r="F342" s="155"/>
      <c r="G342" s="305"/>
      <c r="H342" s="192" t="s">
        <v>304</v>
      </c>
      <c r="I342" s="27" t="str">
        <f t="shared" si="25"/>
        <v>x</v>
      </c>
      <c r="J342" s="29"/>
      <c r="K342" s="34" t="s">
        <v>300</v>
      </c>
      <c r="L342" s="30"/>
    </row>
    <row r="343" spans="1:12" s="119" customFormat="1">
      <c r="A343" s="207"/>
      <c r="B343" s="193"/>
      <c r="C343" s="193"/>
      <c r="D343" s="134"/>
      <c r="E343" s="133"/>
      <c r="F343" s="155"/>
      <c r="G343" s="155"/>
      <c r="H343" s="194"/>
      <c r="I343" s="27"/>
      <c r="J343" s="29"/>
      <c r="K343" s="34"/>
      <c r="L343" s="30"/>
    </row>
    <row r="344" spans="1:12">
      <c r="A344" s="218" t="s">
        <v>425</v>
      </c>
      <c r="B344" s="211"/>
      <c r="C344" s="211"/>
      <c r="D344" s="140"/>
      <c r="E344" s="140"/>
      <c r="F344" s="267"/>
      <c r="G344" s="140"/>
      <c r="H344" s="140"/>
      <c r="I344" s="27" t="str">
        <f t="shared" ref="I344:I345" si="26">IF(COUNTIF(B344:D344,"x")&gt;0,"x","")</f>
        <v/>
      </c>
      <c r="J344" s="37"/>
      <c r="K344" s="38"/>
      <c r="L344" s="38"/>
    </row>
    <row r="345" spans="1:12">
      <c r="A345" s="210"/>
      <c r="B345" s="211"/>
      <c r="C345" s="211"/>
      <c r="D345" s="140"/>
      <c r="E345" s="140"/>
      <c r="F345" s="267"/>
      <c r="G345" s="140"/>
      <c r="H345" s="140"/>
      <c r="I345" s="27" t="str">
        <f t="shared" si="26"/>
        <v/>
      </c>
      <c r="J345" s="37"/>
      <c r="K345" s="38"/>
      <c r="L345" s="38"/>
    </row>
    <row r="346" spans="1:12" ht="14.25" customHeight="1" thickBot="1">
      <c r="A346" s="118"/>
      <c r="B346" s="179"/>
      <c r="C346" s="179"/>
      <c r="D346" s="80"/>
      <c r="E346" s="80"/>
      <c r="F346" s="265"/>
      <c r="G346" s="80"/>
      <c r="H346" s="80"/>
      <c r="I346" s="180" t="str">
        <f>IF(COUNTIF(D347,"x")&gt;0,"x","")</f>
        <v>x</v>
      </c>
      <c r="J346" s="80"/>
      <c r="K346" s="80"/>
      <c r="L346" s="80"/>
    </row>
    <row r="347" spans="1:12" ht="21" customHeight="1" thickBot="1">
      <c r="A347" s="251" t="s">
        <v>637</v>
      </c>
      <c r="B347" s="248"/>
      <c r="C347" s="248"/>
      <c r="D347" s="31" t="str">
        <f>IF('Variabelliste - velg tabeller'!C77="","",'Variabelliste - velg tabeller'!C77)</f>
        <v>x</v>
      </c>
      <c r="E347" s="152" t="s">
        <v>732</v>
      </c>
      <c r="F347" s="155"/>
      <c r="G347" s="249"/>
      <c r="H347" s="214"/>
      <c r="I347" s="27" t="str">
        <f>IF(COUNTIF(D348:D361,"x")&gt;0,"x","")</f>
        <v>x</v>
      </c>
      <c r="J347" s="39"/>
      <c r="K347" s="34" t="s">
        <v>132</v>
      </c>
      <c r="L347" s="30"/>
    </row>
    <row r="348" spans="1:12" s="119" customFormat="1" ht="14.25" customHeight="1">
      <c r="A348" s="255" t="s">
        <v>129</v>
      </c>
      <c r="B348" s="256"/>
      <c r="C348" s="256"/>
      <c r="D348" s="215" t="str">
        <f>D347</f>
        <v>x</v>
      </c>
      <c r="E348" s="152" t="s">
        <v>732</v>
      </c>
      <c r="F348" s="155"/>
      <c r="G348" s="308" t="s">
        <v>355</v>
      </c>
      <c r="H348" s="192" t="s">
        <v>305</v>
      </c>
      <c r="I348" s="27" t="str">
        <f>IF(COUNTIF(D348,"x")&gt;0,"x","")</f>
        <v>x</v>
      </c>
      <c r="J348" s="29"/>
      <c r="K348" s="34" t="s">
        <v>132</v>
      </c>
      <c r="L348" s="30"/>
    </row>
    <row r="349" spans="1:12" s="119" customFormat="1" ht="14.25" customHeight="1">
      <c r="A349" s="255" t="s">
        <v>392</v>
      </c>
      <c r="B349" s="256"/>
      <c r="C349" s="256"/>
      <c r="D349" s="134" t="s">
        <v>738</v>
      </c>
      <c r="E349" s="152" t="s">
        <v>732</v>
      </c>
      <c r="F349" s="155"/>
      <c r="G349" s="309"/>
      <c r="H349" s="192" t="s">
        <v>179</v>
      </c>
      <c r="I349" s="27" t="str">
        <f t="shared" ref="I349:I361" si="27">IF(COUNTIF(D349,"x")&gt;0,"x","")</f>
        <v>x</v>
      </c>
      <c r="J349" s="23" t="s">
        <v>390</v>
      </c>
      <c r="K349" s="34" t="s">
        <v>132</v>
      </c>
      <c r="L349" s="30"/>
    </row>
    <row r="350" spans="1:12" s="119" customFormat="1" ht="14.25" customHeight="1">
      <c r="A350" s="255" t="s">
        <v>394</v>
      </c>
      <c r="B350" s="256"/>
      <c r="C350" s="256"/>
      <c r="D350" s="134" t="s">
        <v>738</v>
      </c>
      <c r="E350" s="152" t="s">
        <v>732</v>
      </c>
      <c r="F350" s="155"/>
      <c r="G350" s="309"/>
      <c r="H350" s="192" t="s">
        <v>178</v>
      </c>
      <c r="I350" s="27" t="str">
        <f t="shared" si="27"/>
        <v>x</v>
      </c>
      <c r="J350" s="23" t="s">
        <v>390</v>
      </c>
      <c r="K350" s="34" t="s">
        <v>132</v>
      </c>
      <c r="L350" s="30"/>
    </row>
    <row r="351" spans="1:12" s="119" customFormat="1" ht="14.25" customHeight="1">
      <c r="A351" s="255" t="s">
        <v>68</v>
      </c>
      <c r="B351" s="256"/>
      <c r="C351" s="256"/>
      <c r="D351" s="134" t="s">
        <v>738</v>
      </c>
      <c r="E351" s="152" t="s">
        <v>732</v>
      </c>
      <c r="F351" s="155"/>
      <c r="G351" s="309"/>
      <c r="H351" s="192" t="s">
        <v>170</v>
      </c>
      <c r="I351" s="27" t="str">
        <f t="shared" si="27"/>
        <v>x</v>
      </c>
      <c r="J351" s="23"/>
      <c r="K351" s="34" t="s">
        <v>132</v>
      </c>
      <c r="L351" s="30"/>
    </row>
    <row r="352" spans="1:12" s="119" customFormat="1" ht="14.25" customHeight="1">
      <c r="A352" s="255" t="s">
        <v>69</v>
      </c>
      <c r="B352" s="256"/>
      <c r="C352" s="256"/>
      <c r="D352" s="134" t="s">
        <v>738</v>
      </c>
      <c r="E352" s="152" t="s">
        <v>732</v>
      </c>
      <c r="F352" s="155"/>
      <c r="G352" s="309"/>
      <c r="H352" s="192" t="s">
        <v>401</v>
      </c>
      <c r="I352" s="27" t="str">
        <f t="shared" si="27"/>
        <v>x</v>
      </c>
      <c r="J352" s="23"/>
      <c r="K352" s="34" t="s">
        <v>132</v>
      </c>
      <c r="L352" s="30"/>
    </row>
    <row r="353" spans="1:12" s="119" customFormat="1" ht="14.25" customHeight="1">
      <c r="A353" s="255" t="s">
        <v>395</v>
      </c>
      <c r="B353" s="256"/>
      <c r="C353" s="256"/>
      <c r="D353" s="134" t="s">
        <v>738</v>
      </c>
      <c r="E353" s="152" t="s">
        <v>733</v>
      </c>
      <c r="F353" s="155"/>
      <c r="G353" s="309"/>
      <c r="H353" s="192" t="s">
        <v>402</v>
      </c>
      <c r="I353" s="27" t="str">
        <f t="shared" si="27"/>
        <v>x</v>
      </c>
      <c r="J353" s="23" t="s">
        <v>390</v>
      </c>
      <c r="K353" s="34" t="s">
        <v>132</v>
      </c>
      <c r="L353" s="30"/>
    </row>
    <row r="354" spans="1:12" s="119" customFormat="1" ht="14.25" customHeight="1">
      <c r="A354" s="255" t="s">
        <v>396</v>
      </c>
      <c r="B354" s="256"/>
      <c r="C354" s="256"/>
      <c r="D354" s="134" t="s">
        <v>738</v>
      </c>
      <c r="E354" s="152" t="s">
        <v>733</v>
      </c>
      <c r="F354" s="155"/>
      <c r="G354" s="309"/>
      <c r="H354" s="192" t="s">
        <v>403</v>
      </c>
      <c r="I354" s="27" t="str">
        <f t="shared" si="27"/>
        <v>x</v>
      </c>
      <c r="J354" s="23" t="s">
        <v>390</v>
      </c>
      <c r="K354" s="34" t="s">
        <v>132</v>
      </c>
      <c r="L354" s="30"/>
    </row>
    <row r="355" spans="1:12" s="119" customFormat="1" ht="14.25" customHeight="1">
      <c r="A355" s="255" t="s">
        <v>130</v>
      </c>
      <c r="B355" s="256"/>
      <c r="C355" s="256"/>
      <c r="D355" s="134" t="s">
        <v>738</v>
      </c>
      <c r="E355" s="152" t="s">
        <v>732</v>
      </c>
      <c r="F355" s="155"/>
      <c r="G355" s="309"/>
      <c r="H355" s="192" t="s">
        <v>306</v>
      </c>
      <c r="I355" s="27" t="str">
        <f t="shared" si="27"/>
        <v>x</v>
      </c>
      <c r="J355" s="29"/>
      <c r="K355" s="34" t="s">
        <v>132</v>
      </c>
      <c r="L355" s="30"/>
    </row>
    <row r="356" spans="1:12" s="119" customFormat="1" ht="14.25" customHeight="1">
      <c r="A356" s="255" t="s">
        <v>131</v>
      </c>
      <c r="B356" s="256"/>
      <c r="C356" s="256"/>
      <c r="D356" s="215" t="str">
        <f>D347</f>
        <v>x</v>
      </c>
      <c r="E356" s="152" t="s">
        <v>732</v>
      </c>
      <c r="F356" s="155"/>
      <c r="G356" s="309"/>
      <c r="H356" s="192" t="s">
        <v>307</v>
      </c>
      <c r="I356" s="27" t="str">
        <f t="shared" si="27"/>
        <v>x</v>
      </c>
      <c r="J356" s="29"/>
      <c r="K356" s="34" t="s">
        <v>132</v>
      </c>
      <c r="L356" s="30"/>
    </row>
    <row r="357" spans="1:12" s="119" customFormat="1" ht="14.25" customHeight="1">
      <c r="A357" s="272" t="s">
        <v>698</v>
      </c>
      <c r="B357" s="273"/>
      <c r="C357" s="273"/>
      <c r="D357" s="274" t="s">
        <v>738</v>
      </c>
      <c r="E357" s="152" t="s">
        <v>699</v>
      </c>
      <c r="F357" s="155"/>
      <c r="G357" s="309"/>
      <c r="H357" s="192" t="s">
        <v>700</v>
      </c>
      <c r="I357" s="27"/>
      <c r="J357" s="29"/>
      <c r="K357" s="34"/>
      <c r="L357" s="30"/>
    </row>
    <row r="358" spans="1:12" s="119" customFormat="1" ht="14.25" customHeight="1">
      <c r="A358" s="255" t="s">
        <v>308</v>
      </c>
      <c r="B358" s="256"/>
      <c r="C358" s="256"/>
      <c r="D358" s="134" t="s">
        <v>738</v>
      </c>
      <c r="E358" s="152" t="s">
        <v>732</v>
      </c>
      <c r="F358" s="155"/>
      <c r="G358" s="309"/>
      <c r="H358" s="192" t="s">
        <v>309</v>
      </c>
      <c r="I358" s="27" t="str">
        <f t="shared" si="27"/>
        <v>x</v>
      </c>
      <c r="J358" s="29"/>
      <c r="K358" s="34" t="s">
        <v>132</v>
      </c>
      <c r="L358" s="30"/>
    </row>
    <row r="359" spans="1:12" s="119" customFormat="1" ht="14.25" customHeight="1">
      <c r="A359" s="255" t="s">
        <v>310</v>
      </c>
      <c r="B359" s="256"/>
      <c r="C359" s="256"/>
      <c r="D359" s="134" t="s">
        <v>738</v>
      </c>
      <c r="E359" s="152" t="s">
        <v>732</v>
      </c>
      <c r="F359" s="155"/>
      <c r="G359" s="309"/>
      <c r="H359" s="192" t="s">
        <v>311</v>
      </c>
      <c r="I359" s="27" t="str">
        <f t="shared" si="27"/>
        <v>x</v>
      </c>
      <c r="J359" s="29"/>
      <c r="K359" s="34" t="s">
        <v>132</v>
      </c>
      <c r="L359" s="30"/>
    </row>
    <row r="360" spans="1:12" s="119" customFormat="1" ht="14.25" customHeight="1">
      <c r="A360" s="255" t="s">
        <v>407</v>
      </c>
      <c r="B360" s="256"/>
      <c r="C360" s="256"/>
      <c r="D360" s="134" t="s">
        <v>738</v>
      </c>
      <c r="E360" s="152">
        <v>2010</v>
      </c>
      <c r="F360" s="155"/>
      <c r="G360" s="309"/>
      <c r="H360" s="192" t="s">
        <v>408</v>
      </c>
      <c r="I360" s="27" t="str">
        <f t="shared" si="27"/>
        <v>x</v>
      </c>
      <c r="J360" s="29"/>
      <c r="K360" s="34" t="s">
        <v>132</v>
      </c>
      <c r="L360" s="30"/>
    </row>
    <row r="361" spans="1:12" s="119" customFormat="1" ht="14.25" customHeight="1">
      <c r="A361" s="255" t="s">
        <v>404</v>
      </c>
      <c r="B361" s="256"/>
      <c r="C361" s="256"/>
      <c r="D361" s="134" t="s">
        <v>738</v>
      </c>
      <c r="E361" s="152" t="s">
        <v>734</v>
      </c>
      <c r="F361" s="276" t="s">
        <v>692</v>
      </c>
      <c r="G361" s="309"/>
      <c r="H361" s="192" t="s">
        <v>405</v>
      </c>
      <c r="I361" s="27" t="str">
        <f t="shared" si="27"/>
        <v>x</v>
      </c>
      <c r="J361" s="29"/>
      <c r="K361" s="34" t="s">
        <v>132</v>
      </c>
      <c r="L361" s="30"/>
    </row>
    <row r="362" spans="1:12" s="119" customFormat="1">
      <c r="A362" s="207"/>
      <c r="B362" s="193"/>
      <c r="C362" s="193"/>
      <c r="D362" s="134"/>
      <c r="E362" s="133"/>
      <c r="F362" s="155"/>
      <c r="G362" s="155"/>
      <c r="H362" s="194"/>
      <c r="I362" s="27"/>
      <c r="J362" s="29"/>
      <c r="K362" s="34"/>
      <c r="L362" s="30"/>
    </row>
    <row r="363" spans="1:12">
      <c r="A363" s="218" t="s">
        <v>425</v>
      </c>
      <c r="B363" s="257"/>
      <c r="C363" s="257"/>
      <c r="D363" s="126"/>
      <c r="E363" s="126"/>
      <c r="F363" s="263"/>
      <c r="G363" s="126"/>
      <c r="H363" s="126"/>
      <c r="I363" s="38"/>
      <c r="J363" s="38"/>
      <c r="K363" s="38"/>
      <c r="L363" s="38"/>
    </row>
    <row r="364" spans="1:12">
      <c r="A364" s="210"/>
      <c r="B364" s="211"/>
      <c r="C364" s="211"/>
      <c r="D364" s="140"/>
      <c r="E364" s="140"/>
      <c r="F364" s="267"/>
      <c r="G364" s="140"/>
      <c r="H364" s="140"/>
      <c r="I364" s="27" t="str">
        <f t="shared" ref="I364" si="28">IF(COUNTIF(B364:D364,"x")&gt;0,"x","")</f>
        <v/>
      </c>
      <c r="J364" s="37"/>
      <c r="K364" s="38"/>
      <c r="L364" s="38"/>
    </row>
    <row r="365" spans="1:12">
      <c r="A365" s="118"/>
      <c r="B365" s="179"/>
      <c r="C365" s="179"/>
      <c r="D365" s="80"/>
      <c r="E365" s="80"/>
      <c r="F365" s="80"/>
      <c r="G365" s="80"/>
      <c r="H365" s="80"/>
      <c r="I365" s="180" t="str">
        <f>IF(COUNTIF(D366,"x")&gt;0,"x","")</f>
        <v/>
      </c>
      <c r="J365" s="80"/>
      <c r="K365" s="80"/>
      <c r="L365" s="80"/>
    </row>
    <row r="366" spans="1:12" ht="26.25" customHeight="1">
      <c r="A366" s="84"/>
      <c r="B366" s="104"/>
      <c r="C366" s="104"/>
      <c r="D366" s="85"/>
      <c r="E366" s="85"/>
      <c r="F366" s="85"/>
      <c r="G366" s="126"/>
      <c r="H366" s="166"/>
      <c r="I366" s="45"/>
      <c r="J366" s="23"/>
      <c r="K366" s="23"/>
      <c r="L366" s="23"/>
    </row>
    <row r="367" spans="1:12" ht="36" customHeight="1">
      <c r="A367" s="84"/>
      <c r="B367" s="278" t="s">
        <v>603</v>
      </c>
      <c r="C367" s="278"/>
      <c r="D367" s="278"/>
      <c r="E367" s="278"/>
      <c r="F367" s="278"/>
      <c r="G367" s="278"/>
      <c r="H367" s="258"/>
      <c r="I367" s="45"/>
      <c r="J367" s="23"/>
      <c r="K367" s="23"/>
      <c r="L367" s="23"/>
    </row>
    <row r="368" spans="1:12" ht="15" customHeight="1">
      <c r="A368" s="85"/>
      <c r="B368" s="85"/>
      <c r="C368" s="85"/>
      <c r="D368" s="85"/>
      <c r="E368" s="85"/>
      <c r="F368" s="85"/>
      <c r="G368" s="126"/>
      <c r="H368" s="167"/>
      <c r="I368" s="23"/>
      <c r="J368" s="23"/>
      <c r="K368" s="23"/>
      <c r="L368" s="23"/>
    </row>
    <row r="369" spans="1:12" ht="36" customHeight="1">
      <c r="A369" s="84"/>
      <c r="B369" s="310" t="s">
        <v>362</v>
      </c>
      <c r="C369" s="310"/>
      <c r="D369" s="310"/>
      <c r="E369" s="310"/>
      <c r="F369" s="310"/>
      <c r="G369" s="310"/>
      <c r="H369" s="258"/>
      <c r="I369" s="45"/>
      <c r="J369" s="23"/>
      <c r="K369" s="23"/>
      <c r="L369" s="23"/>
    </row>
    <row r="370" spans="1:12">
      <c r="A370" s="147"/>
      <c r="B370" s="140"/>
      <c r="C370" s="140"/>
      <c r="D370" s="140"/>
      <c r="E370" s="140"/>
      <c r="F370" s="140"/>
      <c r="G370" s="140"/>
      <c r="H370" s="140"/>
      <c r="I370" s="37"/>
      <c r="J370" s="38"/>
      <c r="K370" s="23"/>
      <c r="L370" s="23"/>
    </row>
    <row r="371" spans="1:12" ht="15" customHeight="1">
      <c r="A371" s="117"/>
      <c r="B371" s="178"/>
      <c r="C371" s="178"/>
      <c r="D371" s="79"/>
      <c r="E371" s="78"/>
      <c r="F371" s="78"/>
      <c r="G371" s="78"/>
      <c r="H371" s="78"/>
      <c r="I371" s="78"/>
      <c r="J371" s="78"/>
      <c r="K371" s="78"/>
      <c r="L371" s="78"/>
    </row>
    <row r="372" spans="1:12">
      <c r="A372" s="114" t="str">
        <f>'Variabelliste - informasjon'!A40</f>
        <v>Sist oppdatert 8. januar 2021</v>
      </c>
      <c r="B372" s="176"/>
      <c r="C372" s="176"/>
      <c r="D372" s="115"/>
      <c r="E372" s="115"/>
      <c r="F372" s="115"/>
      <c r="G372" s="122"/>
      <c r="H372" s="116" t="s">
        <v>11</v>
      </c>
      <c r="I372" s="122"/>
      <c r="J372" s="123"/>
    </row>
    <row r="373" spans="1:12">
      <c r="G373" s="108"/>
      <c r="I373" s="108"/>
    </row>
    <row r="374" spans="1:12">
      <c r="G374" s="108"/>
      <c r="I374" s="108"/>
    </row>
    <row r="375" spans="1:12">
      <c r="G375" s="108"/>
      <c r="I375" s="108"/>
    </row>
    <row r="376" spans="1:12">
      <c r="A376" s="109"/>
      <c r="G376" s="108"/>
      <c r="I376" s="108"/>
    </row>
    <row r="377" spans="1:12">
      <c r="A377" s="109"/>
      <c r="G377" s="108"/>
      <c r="I377" s="108"/>
    </row>
    <row r="378" spans="1:12">
      <c r="A378" s="109"/>
      <c r="G378" s="108"/>
      <c r="I378" s="108"/>
    </row>
    <row r="379" spans="1:12">
      <c r="A379" s="109"/>
      <c r="G379" s="108"/>
      <c r="I379" s="108"/>
    </row>
    <row r="380" spans="1:12">
      <c r="A380" s="109"/>
      <c r="G380" s="108"/>
      <c r="I380" s="108"/>
    </row>
    <row r="381" spans="1:12">
      <c r="A381" s="109"/>
      <c r="G381" s="108"/>
      <c r="I381" s="108"/>
    </row>
    <row r="382" spans="1:12">
      <c r="A382" s="109"/>
      <c r="G382" s="108"/>
      <c r="I382" s="108"/>
    </row>
    <row r="383" spans="1:12">
      <c r="A383" s="109"/>
      <c r="G383" s="108"/>
      <c r="I383" s="108"/>
    </row>
    <row r="384" spans="1:12">
      <c r="A384" s="109"/>
      <c r="G384" s="108"/>
      <c r="I384" s="108"/>
    </row>
    <row r="385" spans="1:9">
      <c r="A385" s="109"/>
      <c r="G385" s="108"/>
      <c r="I385" s="108"/>
    </row>
    <row r="386" spans="1:9">
      <c r="A386" s="109"/>
      <c r="G386" s="108"/>
      <c r="I386" s="108"/>
    </row>
    <row r="387" spans="1:9">
      <c r="A387" s="109"/>
      <c r="G387" s="108"/>
      <c r="I387" s="108"/>
    </row>
    <row r="388" spans="1:9">
      <c r="A388" s="109"/>
      <c r="G388" s="108"/>
      <c r="I388" s="108"/>
    </row>
    <row r="389" spans="1:9">
      <c r="A389" s="109"/>
      <c r="G389" s="108"/>
      <c r="I389" s="108"/>
    </row>
    <row r="390" spans="1:9">
      <c r="A390" s="109"/>
      <c r="G390" s="108"/>
      <c r="I390" s="108"/>
    </row>
    <row r="391" spans="1:9">
      <c r="A391" s="109"/>
      <c r="G391" s="108"/>
      <c r="I391" s="108"/>
    </row>
    <row r="392" spans="1:9">
      <c r="A392" s="109"/>
      <c r="G392" s="108"/>
      <c r="I392" s="108"/>
    </row>
    <row r="393" spans="1:9">
      <c r="A393" s="109"/>
      <c r="G393" s="108"/>
      <c r="I393" s="108"/>
    </row>
    <row r="394" spans="1:9">
      <c r="A394" s="109"/>
      <c r="G394" s="108"/>
      <c r="I394" s="108"/>
    </row>
    <row r="395" spans="1:9">
      <c r="A395" s="109"/>
      <c r="G395" s="108"/>
      <c r="I395" s="108"/>
    </row>
    <row r="396" spans="1:9">
      <c r="A396" s="109"/>
      <c r="G396" s="108"/>
      <c r="I396" s="108"/>
    </row>
    <row r="397" spans="1:9">
      <c r="A397" s="109"/>
      <c r="G397" s="108"/>
      <c r="I397" s="108"/>
    </row>
    <row r="398" spans="1:9">
      <c r="A398" s="109"/>
      <c r="G398" s="108"/>
      <c r="I398" s="108"/>
    </row>
    <row r="399" spans="1:9">
      <c r="A399" s="109"/>
      <c r="G399" s="108"/>
      <c r="I399" s="108"/>
    </row>
    <row r="400" spans="1:9">
      <c r="A400" s="109"/>
      <c r="G400" s="108"/>
      <c r="I400" s="108"/>
    </row>
    <row r="401" spans="1:9">
      <c r="A401" s="109"/>
      <c r="G401" s="108"/>
      <c r="I401" s="108"/>
    </row>
    <row r="402" spans="1:9">
      <c r="A402" s="109"/>
      <c r="G402" s="108"/>
      <c r="I402" s="108"/>
    </row>
    <row r="403" spans="1:9">
      <c r="A403" s="109"/>
      <c r="G403" s="108"/>
      <c r="I403" s="108"/>
    </row>
    <row r="404" spans="1:9">
      <c r="A404" s="109"/>
      <c r="G404" s="108"/>
      <c r="I404" s="108"/>
    </row>
    <row r="405" spans="1:9">
      <c r="A405" s="109"/>
      <c r="G405" s="108"/>
      <c r="I405" s="108"/>
    </row>
  </sheetData>
  <sheetProtection algorithmName="SHA-512" hashValue="tLTc4U5DBKyYIWHnZtY8ivXlmtnHz2JBTQ8baCaqbxzZyUinLT6U8lA+5eRMC6FltkuySiOOoTB45PTmUVzMkw==" saltValue="gKPhFX4ZakzExZ/K1pklLg==" spinCount="100000" sheet="1" selectLockedCells="1"/>
  <autoFilter ref="I7:I370" xr:uid="{00000000-0009-0000-0000-000002000000}"/>
  <mergeCells count="15">
    <mergeCell ref="G348:G361"/>
    <mergeCell ref="B367:G367"/>
    <mergeCell ref="B369:G369"/>
    <mergeCell ref="A1:A2"/>
    <mergeCell ref="G235:G243"/>
    <mergeCell ref="G249:G257"/>
    <mergeCell ref="G318:G326"/>
    <mergeCell ref="G332:G342"/>
    <mergeCell ref="G263:G312"/>
    <mergeCell ref="J5:J7"/>
    <mergeCell ref="E186:E229"/>
    <mergeCell ref="G187:G229"/>
    <mergeCell ref="G150:G181"/>
    <mergeCell ref="G25:G39"/>
    <mergeCell ref="G49:G142"/>
  </mergeCells>
  <conditionalFormatting sqref="J18 H18">
    <cfRule type="expression" dxfId="138" priority="651">
      <formula>#REF!=TRUE</formula>
    </cfRule>
  </conditionalFormatting>
  <conditionalFormatting sqref="D332:D342">
    <cfRule type="expression" dxfId="137" priority="296">
      <formula>$D$331="x"</formula>
    </cfRule>
  </conditionalFormatting>
  <conditionalFormatting sqref="D31:D32">
    <cfRule type="expression" dxfId="136" priority="615">
      <formula>D31="x"</formula>
    </cfRule>
  </conditionalFormatting>
  <conditionalFormatting sqref="D39">
    <cfRule type="expression" dxfId="135" priority="601">
      <formula>D39="x"</formula>
    </cfRule>
  </conditionalFormatting>
  <conditionalFormatting sqref="D37:D38">
    <cfRule type="expression" dxfId="134" priority="584">
      <formula>D37="x"</formula>
    </cfRule>
  </conditionalFormatting>
  <conditionalFormatting sqref="D9:D10">
    <cfRule type="expression" dxfId="133" priority="541">
      <formula>D9="x"</formula>
    </cfRule>
  </conditionalFormatting>
  <conditionalFormatting sqref="H9:H10 H249:H257 H332:H342 H235:H243 H150:H181 H13:H22 H25:H39 H44:H46 H348:H361 H187:H229 H263:H311">
    <cfRule type="expression" dxfId="132" priority="530">
      <formula>D9="x"</formula>
    </cfRule>
  </conditionalFormatting>
  <conditionalFormatting sqref="D235:D243">
    <cfRule type="expression" dxfId="131" priority="515">
      <formula>$D$234="x"</formula>
    </cfRule>
  </conditionalFormatting>
  <conditionalFormatting sqref="D160">
    <cfRule type="expression" dxfId="130" priority="432">
      <formula>D160="x"</formula>
    </cfRule>
  </conditionalFormatting>
  <conditionalFormatting sqref="A318:C318">
    <cfRule type="expression" dxfId="129" priority="1016">
      <formula>#REF!="x"</formula>
    </cfRule>
  </conditionalFormatting>
  <conditionalFormatting sqref="H318:H326">
    <cfRule type="expression" dxfId="128" priority="1019">
      <formula>$D318="x"</formula>
    </cfRule>
  </conditionalFormatting>
  <conditionalFormatting sqref="D317:D326 A317:A326 A347:A356 D347:D356 D358:D361 A358:A361 D262:D312 A264:A311">
    <cfRule type="expression" dxfId="127" priority="252">
      <formula>$D262="x"</formula>
    </cfRule>
  </conditionalFormatting>
  <conditionalFormatting sqref="A331:A342 D331:D342">
    <cfRule type="expression" dxfId="126" priority="295">
      <formula>$D331="x"</formula>
    </cfRule>
  </conditionalFormatting>
  <conditionalFormatting sqref="J9:J10 J25:J37 J19:J21 J250:J257 J332 J235:J237 J348 J150:J181 J14 J187:J229 J17 J127 J129 J131:J132 J239 J310:J312 J334:J342 J44:J125 J134:J145 J355:J361 J12 J241:J243 J264:J308">
    <cfRule type="expression" dxfId="125" priority="281">
      <formula>#REF!="x"</formula>
    </cfRule>
  </conditionalFormatting>
  <conditionalFormatting sqref="D49:D144">
    <cfRule type="expression" dxfId="124" priority="276">
      <formula>$D$47="x"</formula>
    </cfRule>
  </conditionalFormatting>
  <conditionalFormatting sqref="A24:A39 D24:D39">
    <cfRule type="expression" dxfId="123" priority="261">
      <formula>$D24="x"</formula>
    </cfRule>
  </conditionalFormatting>
  <conditionalFormatting sqref="D12 A12 D14 A14:A16 A19 D19">
    <cfRule type="expression" dxfId="122" priority="262">
      <formula>$D12="x"</formula>
    </cfRule>
  </conditionalFormatting>
  <conditionalFormatting sqref="D14:D16 D19">
    <cfRule type="expression" dxfId="121" priority="263">
      <formula>$D$15="x"</formula>
    </cfRule>
  </conditionalFormatting>
  <conditionalFormatting sqref="D25:D39">
    <cfRule type="expression" dxfId="120" priority="267">
      <formula>$D$24="x"</formula>
    </cfRule>
  </conditionalFormatting>
  <conditionalFormatting sqref="D150:D181">
    <cfRule type="expression" dxfId="119" priority="274">
      <formula>$D$149="x"</formula>
    </cfRule>
  </conditionalFormatting>
  <conditionalFormatting sqref="D234">
    <cfRule type="expression" dxfId="118" priority="308">
      <formula>$D$234="x"</formula>
    </cfRule>
  </conditionalFormatting>
  <conditionalFormatting sqref="D248:D257 A248:A257">
    <cfRule type="expression" dxfId="117" priority="255">
      <formula>$D248="x"</formula>
    </cfRule>
  </conditionalFormatting>
  <conditionalFormatting sqref="D249:D257">
    <cfRule type="expression" dxfId="116" priority="256">
      <formula>$D$248="x"</formula>
    </cfRule>
  </conditionalFormatting>
  <conditionalFormatting sqref="D263:D312">
    <cfRule type="expression" dxfId="115" priority="254">
      <formula>$D$262="x"</formula>
    </cfRule>
  </conditionalFormatting>
  <conditionalFormatting sqref="A262">
    <cfRule type="expression" dxfId="114" priority="253">
      <formula>$D262="x"</formula>
    </cfRule>
  </conditionalFormatting>
  <conditionalFormatting sqref="D318:D326">
    <cfRule type="expression" dxfId="113" priority="299">
      <formula>$D$317="x"</formula>
    </cfRule>
  </conditionalFormatting>
  <conditionalFormatting sqref="D348:D356 D358:D361">
    <cfRule type="expression" dxfId="112" priority="292">
      <formula>$D$347="x"</formula>
    </cfRule>
  </conditionalFormatting>
  <conditionalFormatting sqref="J16">
    <cfRule type="expression" dxfId="111" priority="241">
      <formula>E16="x"</formula>
    </cfRule>
  </conditionalFormatting>
  <conditionalFormatting sqref="J15">
    <cfRule type="expression" dxfId="110" priority="234">
      <formula>E15="x"</formula>
    </cfRule>
  </conditionalFormatting>
  <conditionalFormatting sqref="D16">
    <cfRule type="expression" dxfId="109" priority="232">
      <formula>$D16="x"</formula>
    </cfRule>
  </conditionalFormatting>
  <conditionalFormatting sqref="D16">
    <cfRule type="expression" dxfId="108" priority="233">
      <formula>$D$12="x"</formula>
    </cfRule>
  </conditionalFormatting>
  <conditionalFormatting sqref="H15">
    <cfRule type="expression" dxfId="107" priority="231">
      <formula>C15="x"</formula>
    </cfRule>
  </conditionalFormatting>
  <conditionalFormatting sqref="H16">
    <cfRule type="expression" dxfId="106" priority="229">
      <formula>C16="x"</formula>
    </cfRule>
  </conditionalFormatting>
  <conditionalFormatting sqref="G145 G19:G21 G9:G10 G44:G48 G14:G16 G12">
    <cfRule type="expression" priority="1119" stopIfTrue="1">
      <formula>G9=""</formula>
    </cfRule>
    <cfRule type="expression" dxfId="105" priority="1120" stopIfTrue="1">
      <formula>G9="SSB"</formula>
    </cfRule>
    <cfRule type="expression" dxfId="104" priority="1121">
      <formula>E9="x"</formula>
    </cfRule>
  </conditionalFormatting>
  <conditionalFormatting sqref="H182">
    <cfRule type="expression" dxfId="103" priority="159">
      <formula>D182="x"</formula>
    </cfRule>
  </conditionalFormatting>
  <conditionalFormatting sqref="J182">
    <cfRule type="expression" dxfId="102" priority="158">
      <formula>#REF!="x"</formula>
    </cfRule>
  </conditionalFormatting>
  <conditionalFormatting sqref="G182">
    <cfRule type="expression" priority="160" stopIfTrue="1">
      <formula>G182=""</formula>
    </cfRule>
    <cfRule type="expression" dxfId="101" priority="161" stopIfTrue="1">
      <formula>G182="SSB"</formula>
    </cfRule>
    <cfRule type="expression" dxfId="100" priority="162">
      <formula>E182="x"</formula>
    </cfRule>
  </conditionalFormatting>
  <conditionalFormatting sqref="H230">
    <cfRule type="expression" dxfId="99" priority="154">
      <formula>D230="x"</formula>
    </cfRule>
  </conditionalFormatting>
  <conditionalFormatting sqref="J230">
    <cfRule type="expression" dxfId="98" priority="153">
      <formula>#REF!="x"</formula>
    </cfRule>
  </conditionalFormatting>
  <conditionalFormatting sqref="G230">
    <cfRule type="expression" priority="155" stopIfTrue="1">
      <formula>G230=""</formula>
    </cfRule>
    <cfRule type="expression" dxfId="97" priority="156" stopIfTrue="1">
      <formula>G230="SSB"</formula>
    </cfRule>
    <cfRule type="expression" dxfId="96" priority="157">
      <formula>E230="x"</formula>
    </cfRule>
  </conditionalFormatting>
  <conditionalFormatting sqref="H244">
    <cfRule type="expression" dxfId="95" priority="149">
      <formula>D244="x"</formula>
    </cfRule>
  </conditionalFormatting>
  <conditionalFormatting sqref="J244">
    <cfRule type="expression" dxfId="94" priority="148">
      <formula>#REF!="x"</formula>
    </cfRule>
  </conditionalFormatting>
  <conditionalFormatting sqref="G244">
    <cfRule type="expression" priority="150" stopIfTrue="1">
      <formula>G244=""</formula>
    </cfRule>
    <cfRule type="expression" dxfId="93" priority="151" stopIfTrue="1">
      <formula>G244="SSB"</formula>
    </cfRule>
    <cfRule type="expression" dxfId="92" priority="152">
      <formula>E244="x"</formula>
    </cfRule>
  </conditionalFormatting>
  <conditionalFormatting sqref="H258">
    <cfRule type="expression" dxfId="91" priority="144">
      <formula>D258="x"</formula>
    </cfRule>
  </conditionalFormatting>
  <conditionalFormatting sqref="J258">
    <cfRule type="expression" dxfId="90" priority="143">
      <formula>#REF!="x"</formula>
    </cfRule>
  </conditionalFormatting>
  <conditionalFormatting sqref="G258">
    <cfRule type="expression" priority="145" stopIfTrue="1">
      <formula>G258=""</formula>
    </cfRule>
    <cfRule type="expression" dxfId="89" priority="146" stopIfTrue="1">
      <formula>G258="SSB"</formula>
    </cfRule>
    <cfRule type="expression" dxfId="88" priority="147">
      <formula>E258="x"</formula>
    </cfRule>
  </conditionalFormatting>
  <conditionalFormatting sqref="H313">
    <cfRule type="expression" dxfId="87" priority="139">
      <formula>D313="x"</formula>
    </cfRule>
  </conditionalFormatting>
  <conditionalFormatting sqref="J313">
    <cfRule type="expression" dxfId="86" priority="138">
      <formula>#REF!="x"</formula>
    </cfRule>
  </conditionalFormatting>
  <conditionalFormatting sqref="G313">
    <cfRule type="expression" priority="140" stopIfTrue="1">
      <formula>G313=""</formula>
    </cfRule>
    <cfRule type="expression" dxfId="85" priority="141" stopIfTrue="1">
      <formula>G313="SSB"</formula>
    </cfRule>
    <cfRule type="expression" dxfId="84" priority="142">
      <formula>E313="x"</formula>
    </cfRule>
  </conditionalFormatting>
  <conditionalFormatting sqref="H327">
    <cfRule type="expression" dxfId="83" priority="134">
      <formula>D327="x"</formula>
    </cfRule>
  </conditionalFormatting>
  <conditionalFormatting sqref="J327">
    <cfRule type="expression" dxfId="82" priority="133">
      <formula>#REF!="x"</formula>
    </cfRule>
  </conditionalFormatting>
  <conditionalFormatting sqref="G327">
    <cfRule type="expression" priority="135" stopIfTrue="1">
      <formula>G327=""</formula>
    </cfRule>
    <cfRule type="expression" dxfId="81" priority="136" stopIfTrue="1">
      <formula>G327="SSB"</formula>
    </cfRule>
    <cfRule type="expression" dxfId="80" priority="137">
      <formula>E327="x"</formula>
    </cfRule>
  </conditionalFormatting>
  <conditionalFormatting sqref="H343">
    <cfRule type="expression" dxfId="79" priority="129">
      <formula>D343="x"</formula>
    </cfRule>
  </conditionalFormatting>
  <conditionalFormatting sqref="J343">
    <cfRule type="expression" dxfId="78" priority="128">
      <formula>#REF!="x"</formula>
    </cfRule>
  </conditionalFormatting>
  <conditionalFormatting sqref="G343">
    <cfRule type="expression" priority="130" stopIfTrue="1">
      <formula>G343=""</formula>
    </cfRule>
    <cfRule type="expression" dxfId="77" priority="131" stopIfTrue="1">
      <formula>G343="SSB"</formula>
    </cfRule>
    <cfRule type="expression" dxfId="76" priority="132">
      <formula>E343="x"</formula>
    </cfRule>
  </conditionalFormatting>
  <conditionalFormatting sqref="H362">
    <cfRule type="expression" dxfId="75" priority="124">
      <formula>D362="x"</formula>
    </cfRule>
  </conditionalFormatting>
  <conditionalFormatting sqref="J362">
    <cfRule type="expression" dxfId="74" priority="123">
      <formula>#REF!="x"</formula>
    </cfRule>
  </conditionalFormatting>
  <conditionalFormatting sqref="G362">
    <cfRule type="expression" priority="125" stopIfTrue="1">
      <formula>G362=""</formula>
    </cfRule>
    <cfRule type="expression" dxfId="73" priority="126" stopIfTrue="1">
      <formula>G362="SSB"</formula>
    </cfRule>
    <cfRule type="expression" dxfId="72" priority="127">
      <formula>E362="x"</formula>
    </cfRule>
  </conditionalFormatting>
  <conditionalFormatting sqref="H319">
    <cfRule type="expression" dxfId="71" priority="106">
      <formula>$D$319="x"</formula>
    </cfRule>
  </conditionalFormatting>
  <conditionalFormatting sqref="D14">
    <cfRule type="expression" dxfId="70" priority="104">
      <formula>$D14="x"</formula>
    </cfRule>
  </conditionalFormatting>
  <conditionalFormatting sqref="D14">
    <cfRule type="expression" dxfId="69" priority="105">
      <formula>$D$12="x"</formula>
    </cfRule>
  </conditionalFormatting>
  <conditionalFormatting sqref="D15">
    <cfRule type="expression" dxfId="68" priority="102">
      <formula>$D15="x"</formula>
    </cfRule>
  </conditionalFormatting>
  <conditionalFormatting sqref="D15">
    <cfRule type="expression" dxfId="67" priority="103">
      <formula>$D$12="x"</formula>
    </cfRule>
  </conditionalFormatting>
  <conditionalFormatting sqref="D19">
    <cfRule type="expression" dxfId="66" priority="100">
      <formula>$D19="x"</formula>
    </cfRule>
  </conditionalFormatting>
  <conditionalFormatting sqref="D19">
    <cfRule type="expression" dxfId="65" priority="101">
      <formula>$D$12="x"</formula>
    </cfRule>
  </conditionalFormatting>
  <conditionalFormatting sqref="A187">
    <cfRule type="expression" dxfId="64" priority="99">
      <formula>$D$187="x"</formula>
    </cfRule>
  </conditionalFormatting>
  <conditionalFormatting sqref="D186:D229 A186:A229">
    <cfRule type="expression" dxfId="63" priority="98">
      <formula>$D186="x"</formula>
    </cfRule>
  </conditionalFormatting>
  <conditionalFormatting sqref="D187:D229">
    <cfRule type="expression" dxfId="62" priority="260">
      <formula>$D$186="x"</formula>
    </cfRule>
  </conditionalFormatting>
  <conditionalFormatting sqref="A149:A181 D149:D181">
    <cfRule type="expression" dxfId="61" priority="97">
      <formula>$D149="x"</formula>
    </cfRule>
  </conditionalFormatting>
  <conditionalFormatting sqref="A49:A144">
    <cfRule type="expression" dxfId="60" priority="62">
      <formula>$D49="x"</formula>
    </cfRule>
    <cfRule type="expression" dxfId="59" priority="63">
      <formula>$C49="x"</formula>
    </cfRule>
    <cfRule type="expression" dxfId="58" priority="64">
      <formula>$B49="x"</formula>
    </cfRule>
  </conditionalFormatting>
  <conditionalFormatting sqref="C46:C144">
    <cfRule type="expression" dxfId="57" priority="40">
      <formula>C46="x"</formula>
    </cfRule>
  </conditionalFormatting>
  <conditionalFormatting sqref="A46">
    <cfRule type="expression" dxfId="56" priority="60">
      <formula>$C$46="x"</formula>
    </cfRule>
  </conditionalFormatting>
  <conditionalFormatting sqref="A45">
    <cfRule type="expression" dxfId="55" priority="59">
      <formula>$B$45="x"</formula>
    </cfRule>
  </conditionalFormatting>
  <conditionalFormatting sqref="A47">
    <cfRule type="expression" dxfId="54" priority="58">
      <formula>$D$47="x"</formula>
    </cfRule>
  </conditionalFormatting>
  <conditionalFormatting sqref="D47 D49:D144">
    <cfRule type="expression" dxfId="53" priority="57">
      <formula>D47="x"</formula>
    </cfRule>
  </conditionalFormatting>
  <conditionalFormatting sqref="B45 B49:B144">
    <cfRule type="expression" dxfId="52" priority="39">
      <formula>$B45="x"</formula>
    </cfRule>
  </conditionalFormatting>
  <conditionalFormatting sqref="H49:H144">
    <cfRule type="expression" dxfId="51" priority="53">
      <formula>$D49="x"</formula>
    </cfRule>
    <cfRule type="expression" dxfId="50" priority="54">
      <formula>$C49="x"</formula>
    </cfRule>
    <cfRule type="expression" dxfId="49" priority="55">
      <formula>$B49="x"</formula>
    </cfRule>
  </conditionalFormatting>
  <conditionalFormatting sqref="J325 H325 J323 H323">
    <cfRule type="expression" dxfId="48" priority="1126">
      <formula>#REF!="x"</formula>
    </cfRule>
  </conditionalFormatting>
  <conditionalFormatting sqref="A234:A243 D234:D243">
    <cfRule type="expression" dxfId="47" priority="50">
      <formula>$D234="x"</formula>
    </cfRule>
  </conditionalFormatting>
  <conditionalFormatting sqref="G13">
    <cfRule type="expression" priority="47" stopIfTrue="1">
      <formula>G13=""</formula>
    </cfRule>
    <cfRule type="expression" dxfId="46" priority="48" stopIfTrue="1">
      <formula>G13="SSB"</formula>
    </cfRule>
    <cfRule type="expression" dxfId="45" priority="49">
      <formula>E13="x"</formula>
    </cfRule>
  </conditionalFormatting>
  <conditionalFormatting sqref="G17">
    <cfRule type="expression" priority="44" stopIfTrue="1">
      <formula>G17=""</formula>
    </cfRule>
    <cfRule type="expression" dxfId="44" priority="45" stopIfTrue="1">
      <formula>G17="SSB"</formula>
    </cfRule>
    <cfRule type="expression" dxfId="43" priority="46">
      <formula>E17="x"</formula>
    </cfRule>
  </conditionalFormatting>
  <conditionalFormatting sqref="A263">
    <cfRule type="expression" dxfId="42" priority="43">
      <formula>#REF!="x"</formula>
    </cfRule>
  </conditionalFormatting>
  <conditionalFormatting sqref="A263">
    <cfRule type="expression" dxfId="41" priority="42">
      <formula>$D263="x"</formula>
    </cfRule>
  </conditionalFormatting>
  <conditionalFormatting sqref="B49:B144">
    <cfRule type="expression" dxfId="40" priority="41">
      <formula>$C49="x"</formula>
    </cfRule>
    <cfRule type="expression" dxfId="39" priority="56">
      <formula>$D49="x"</formula>
    </cfRule>
  </conditionalFormatting>
  <conditionalFormatting sqref="C49:C144">
    <cfRule type="expression" dxfId="38" priority="61">
      <formula>$D49="x"</formula>
    </cfRule>
  </conditionalFormatting>
  <conditionalFormatting sqref="A14 D14 F14 H14">
    <cfRule type="expression" dxfId="37" priority="38">
      <formula>$D14="x"</formula>
    </cfRule>
  </conditionalFormatting>
  <conditionalFormatting sqref="A190 D190 F190 H190">
    <cfRule type="expression" dxfId="36" priority="37">
      <formula>$D190="x"</formula>
    </cfRule>
  </conditionalFormatting>
  <conditionalFormatting sqref="A189">
    <cfRule type="expression" dxfId="35" priority="36">
      <formula>$D189="x"</formula>
    </cfRule>
  </conditionalFormatting>
  <conditionalFormatting sqref="A189">
    <cfRule type="expression" dxfId="34" priority="35">
      <formula>$D189="x"</formula>
    </cfRule>
  </conditionalFormatting>
  <conditionalFormatting sqref="D189">
    <cfRule type="expression" dxfId="33" priority="34">
      <formula>$D189="x"</formula>
    </cfRule>
  </conditionalFormatting>
  <conditionalFormatting sqref="F189">
    <cfRule type="expression" dxfId="32" priority="33">
      <formula>$D189="x"</formula>
    </cfRule>
  </conditionalFormatting>
  <conditionalFormatting sqref="H189">
    <cfRule type="expression" dxfId="31" priority="32">
      <formula>$D189="x"</formula>
    </cfRule>
  </conditionalFormatting>
  <conditionalFormatting sqref="A188">
    <cfRule type="expression" dxfId="30" priority="31">
      <formula>$D188="x"</formula>
    </cfRule>
  </conditionalFormatting>
  <conditionalFormatting sqref="A188">
    <cfRule type="expression" dxfId="29" priority="30">
      <formula>$D188="x"</formula>
    </cfRule>
  </conditionalFormatting>
  <conditionalFormatting sqref="D188">
    <cfRule type="expression" dxfId="28" priority="29">
      <formula>$D188="x"</formula>
    </cfRule>
  </conditionalFormatting>
  <conditionalFormatting sqref="F188">
    <cfRule type="expression" dxfId="27" priority="28">
      <formula>$D188="x"</formula>
    </cfRule>
  </conditionalFormatting>
  <conditionalFormatting sqref="H188">
    <cfRule type="expression" dxfId="26" priority="27">
      <formula>$D188="x"</formula>
    </cfRule>
  </conditionalFormatting>
  <conditionalFormatting sqref="A133 D133 F133 H133">
    <cfRule type="expression" dxfId="25" priority="26">
      <formula>$D133="x"</formula>
    </cfRule>
  </conditionalFormatting>
  <conditionalFormatting sqref="A187 D187 F187 H187">
    <cfRule type="expression" dxfId="24" priority="25">
      <formula>$D187="x"</formula>
    </cfRule>
  </conditionalFormatting>
  <conditionalFormatting sqref="A59 D59 F59 H59">
    <cfRule type="expression" dxfId="23" priority="24">
      <formula>$D59="x"</formula>
    </cfRule>
  </conditionalFormatting>
  <conditionalFormatting sqref="A59 C59 F59 H59">
    <cfRule type="expression" dxfId="22" priority="23">
      <formula>$C59="x"</formula>
    </cfRule>
  </conditionalFormatting>
  <conditionalFormatting sqref="A59:B59 F59 H59">
    <cfRule type="expression" dxfId="21" priority="22">
      <formula>$B59="x"</formula>
    </cfRule>
  </conditionalFormatting>
  <conditionalFormatting sqref="A33 D33 F33 H33">
    <cfRule type="expression" dxfId="20" priority="21">
      <formula>$D33="x"</formula>
    </cfRule>
  </conditionalFormatting>
  <conditionalFormatting sqref="A71:B71 F71 H71">
    <cfRule type="expression" dxfId="19" priority="20">
      <formula>$B71="x"</formula>
    </cfRule>
  </conditionalFormatting>
  <conditionalFormatting sqref="A71 C71 F71 H71">
    <cfRule type="expression" dxfId="18" priority="19">
      <formula>$C71="x"</formula>
    </cfRule>
  </conditionalFormatting>
  <conditionalFormatting sqref="D71 A71 F71 H71">
    <cfRule type="expression" dxfId="17" priority="18">
      <formula>$D71="x"</formula>
    </cfRule>
  </conditionalFormatting>
  <conditionalFormatting sqref="A191:A192">
    <cfRule type="expression" dxfId="16" priority="17">
      <formula>$D191="x"</formula>
    </cfRule>
  </conditionalFormatting>
  <conditionalFormatting sqref="D191:D192">
    <cfRule type="expression" dxfId="15" priority="16">
      <formula>$D191="x"</formula>
    </cfRule>
  </conditionalFormatting>
  <conditionalFormatting sqref="F191:F192">
    <cfRule type="expression" dxfId="14" priority="15">
      <formula>$D191="x"</formula>
    </cfRule>
  </conditionalFormatting>
  <conditionalFormatting sqref="H191:H192">
    <cfRule type="expression" dxfId="13" priority="14">
      <formula>$D191="x"</formula>
    </cfRule>
  </conditionalFormatting>
  <conditionalFormatting sqref="H198:H202">
    <cfRule type="expression" dxfId="12" priority="13">
      <formula>$D198="x"</formula>
    </cfRule>
  </conditionalFormatting>
  <conditionalFormatting sqref="F198:F202">
    <cfRule type="expression" dxfId="11" priority="12">
      <formula>$D198="x"</formula>
    </cfRule>
  </conditionalFormatting>
  <conditionalFormatting sqref="D198:D202">
    <cfRule type="expression" dxfId="10" priority="11">
      <formula>$D198="x"</formula>
    </cfRule>
  </conditionalFormatting>
  <conditionalFormatting sqref="A199:A202">
    <cfRule type="expression" dxfId="9" priority="10">
      <formula>$D199="x"</formula>
    </cfRule>
  </conditionalFormatting>
  <conditionalFormatting sqref="A198:A202">
    <cfRule type="expression" dxfId="8" priority="9">
      <formula>$D198="x"</formula>
    </cfRule>
  </conditionalFormatting>
  <conditionalFormatting sqref="A9">
    <cfRule type="expression" dxfId="7" priority="8">
      <formula>$D9="x"</formula>
    </cfRule>
  </conditionalFormatting>
  <conditionalFormatting sqref="A9">
    <cfRule type="expression" dxfId="6" priority="7">
      <formula>$D9="x"</formula>
    </cfRule>
  </conditionalFormatting>
  <conditionalFormatting sqref="F9">
    <cfRule type="expression" dxfId="5" priority="6">
      <formula>$D9="x"</formula>
    </cfRule>
  </conditionalFormatting>
  <conditionalFormatting sqref="A357 D357">
    <cfRule type="expression" dxfId="4" priority="4">
      <formula>$D357="x"</formula>
    </cfRule>
  </conditionalFormatting>
  <conditionalFormatting sqref="D357">
    <cfRule type="expression" dxfId="3" priority="5">
      <formula>$D$347="x"</formula>
    </cfRule>
  </conditionalFormatting>
  <conditionalFormatting sqref="H312">
    <cfRule type="expression" dxfId="2" priority="3">
      <formula>D312="x"</formula>
    </cfRule>
  </conditionalFormatting>
  <conditionalFormatting sqref="A312">
    <cfRule type="expression" dxfId="1" priority="2">
      <formula>$D312="x"</formula>
    </cfRule>
  </conditionalFormatting>
  <conditionalFormatting sqref="F361">
    <cfRule type="expression" dxfId="0" priority="1">
      <formula>$D361="x"</formula>
    </cfRule>
  </conditionalFormatting>
  <dataValidations count="10">
    <dataValidation type="list" allowBlank="1" showDropDown="1" showInputMessage="1" showErrorMessage="1" errorTitle="Skriv x i cellen for å bestille." sqref="D12 D24:D39 D20:D21 D9:D10" xr:uid="{00000000-0002-0000-0200-000000000000}">
      <formula1>"x,X"</formula1>
    </dataValidation>
    <dataValidation type="list" allowBlank="1" showDropDown="1" showInputMessage="1" showErrorMessage="1" sqref="D14:D16 D19 B45 C48:D48" xr:uid="{00000000-0002-0000-0200-000001000000}">
      <formula1>"x,X"</formula1>
    </dataValidation>
    <dataValidation allowBlank="1" showDropDown="1" showInputMessage="1" showErrorMessage="1" sqref="C45:D45 D46 B46:B47 C47" xr:uid="{00000000-0002-0000-0200-000002000000}"/>
    <dataValidation type="list" allowBlank="1" showDropDown="1" showInputMessage="1" showErrorMessage="1" errorTitle="Ugyldig tegn" error="Sett kryss med x eller X." sqref="B142:D142 B139:C140 B137:D137 B132:C135 B130:D130 B128:D128 B126:D126 B124:D124 B122:D122 B120:D120 B118:D118 B116:D116 B114:D114 B110:C112 D66:D113 B101:C104 B99:C99 B97:C97 B95:C95 B93:C93 B91:C91 B89:C89 B84:C84 B80:C80 B82:C82 B78:C78 B69:C73 B67:C67 B65:D65 B186:D231 B317:D328 B149:D183 D49:D64 B234:D245 B144:D146 B248:D259 B331:D344 B63:C63 B75:C76 B86:C87 D115 D117 D119 D121 D123 D125 D127 D129 D131:D136 D138:D141 D143 B49:C57 B59:B61 C60:C61 B106:C108 B347:D362 B262:D314" xr:uid="{00000000-0002-0000-0200-000003000000}">
      <formula1>"x,X"</formula1>
    </dataValidation>
    <dataValidation type="textLength" allowBlank="1" showDropDown="1" showInputMessage="1" showErrorMessage="1" errorTitle="Forenklet uttrekk" error="Det kan ikke bestilles datovariabler for forenklet uttrekk. Variablene leveres per år, feks NUS2000_2010,NUS2000_2011, osv." sqref="B58:C58 B62:C62 B64:C64 B66:C66 B68:C68 B74:C74 B77:C77 B79:C79 B81:C81 B83:C83 B85:C85 B88:C88 B90:C90 B92:C92 B94:C94 B96:C96 B98:C98 B100:C100 B105:C105 B109:C109 B113:C113 B115:C115 B117:C117 B119:C119 B121:C121 B123:C123 B125:C125 B127:C127 B129:C129 B131:C131 B136:C136 B138:C138 B141:C141 B143:C143" xr:uid="{00000000-0002-0000-0200-000004000000}">
      <formula1>0</formula1>
      <formula2>0</formula2>
    </dataValidation>
    <dataValidation type="list" allowBlank="1" showDropDown="1" showInputMessage="1" showErrorMessage="1" sqref="D47 C46" xr:uid="{00000000-0002-0000-0200-000005000000}">
      <formula1>"x,X,"</formula1>
    </dataValidation>
    <dataValidation type="list" allowBlank="1" showDropDown="1" showInputMessage="1" showErrorMessage="1" sqref="B48" xr:uid="{00000000-0002-0000-0200-000006000000}">
      <mc:AlternateContent xmlns:x12ac="http://schemas.microsoft.com/office/spreadsheetml/2011/1/ac" xmlns:mc="http://schemas.openxmlformats.org/markup-compatibility/2006">
        <mc:Choice Requires="x12ac">
          <x12ac:list>"x,X"</x12ac:list>
        </mc:Choice>
        <mc:Fallback>
          <formula1>"x,X"</formula1>
        </mc:Fallback>
      </mc:AlternateContent>
    </dataValidation>
    <dataValidation type="whole" operator="greaterThanOrEqual" allowBlank="1" showInputMessage="1" showErrorMessage="1" sqref="C370:D370 C368:D368 C366:D366" xr:uid="{00000000-0002-0000-0200-000007000000}">
      <formula1>1970</formula1>
    </dataValidation>
    <dataValidation allowBlank="1" showDropDown="1" showInputMessage="1" showErrorMessage="1" errorTitle="Ugyldig tegn" error="Sett kryss med x eller X." sqref="C59" xr:uid="{00000000-0002-0000-0200-000008000000}"/>
    <dataValidation allowBlank="1" showDropDown="1" showInputMessage="1" showErrorMessage="1" errorTitle="Skriv x i cellen for å bestille." sqref="D44" xr:uid="{00000000-0002-0000-0200-000009000000}"/>
  </dataValidations>
  <hyperlinks>
    <hyperlink ref="G25" r:id="rId1" location="tabell_F_UTD_DEMOGRAFI" display="F_UTD_DEMOGRAFI" xr:uid="{00000000-0004-0000-0200-000000000000}"/>
    <hyperlink ref="G187" r:id="rId2" location="tabell_TAB_UTD_PERSON" display="TAB_UTD_PERSON" xr:uid="{00000000-0004-0000-0200-000001000000}"/>
    <hyperlink ref="G249" r:id="rId3" location="tabell_TAB_KARAKTER_GRUNNSKOLE" display="TAB_KARAKTER_GRUNNSKOLE" xr:uid="{00000000-0004-0000-0200-000002000000}"/>
    <hyperlink ref="G318" r:id="rId4" location="tabell_TAB_VITNEMALFAG_VGSKOLE" display="TAB_VITNEMÅLFAG_VGSKOLE" xr:uid="{00000000-0004-0000-0200-000003000000}"/>
    <hyperlink ref="G332" r:id="rId5" location="tabell_TAB_KARAKTER_VGSKOLE" display="TAB_KARAKTER_VGSKOLE" xr:uid="{00000000-0004-0000-0200-000004000000}"/>
    <hyperlink ref="G263" r:id="rId6" location="tabell_TAB_VITNEMAL_VGSKOLE" display="TAB_VITNEMÅL_VGSKOLE" xr:uid="{00000000-0004-0000-0200-000005000000}"/>
    <hyperlink ref="G187:G229" r:id="rId7" location="tabell_TAB_UTD_PERSON" display="tabell_TAB_UTD_PERSON" xr:uid="{00000000-0004-0000-0200-000006000000}"/>
    <hyperlink ref="G249:G257" r:id="rId8" location="tabell_TAB_KARAKTER_GRUNNSKOLE" display="tabell_TAB_KARAKTER_GRUNNSKOLE" xr:uid="{00000000-0004-0000-0200-000007000000}"/>
    <hyperlink ref="G263:G311" r:id="rId9" location="tabell_TAB_VITNEMAL_VGSKOLE" display="tabell_TAB_VITNEMAL_VGSKOLE" xr:uid="{00000000-0004-0000-0200-000008000000}"/>
    <hyperlink ref="G318:G326" r:id="rId10" location="tabell_TAB_VITNEMALFAG_VGSKOLE" display="tabell_TAB_VITNEMALFAG_VGSKOLE" xr:uid="{00000000-0004-0000-0200-000009000000}"/>
    <hyperlink ref="G332:G342" r:id="rId11" location="tabell_TAB_KARAKTER_VGSKOLE" display="tabell_TAB_KARAKTER_VGSKOLE" xr:uid="{00000000-0004-0000-0200-00000A000000}"/>
    <hyperlink ref="G25:G39" r:id="rId12" location="tabell_F_UTD_DEMOGRAFI" display="tabell_F_UTD_DEMOGRAFI" xr:uid="{00000000-0004-0000-0200-00000B000000}"/>
    <hyperlink ref="G235" r:id="rId13" location="tabell_TAB_KARAKTER_GRUNNSKOLE" display="TAB_KARAKTER_GRUNNSKOLE" xr:uid="{00000000-0004-0000-0200-00000C000000}"/>
    <hyperlink ref="G235:G243" r:id="rId14" location="tabell_TAB_UTVEKSL_STUD" display="tabell_TAB_UTVEKSL_STUD" xr:uid="{00000000-0004-0000-0200-00000D000000}"/>
    <hyperlink ref="G14" r:id="rId15" xr:uid="{00000000-0004-0000-0200-00000E000000}"/>
    <hyperlink ref="G348:G361" r:id="rId16" location="tabell_TAB_NASJONALE_PROVER" display="tabell_TAB_NASJONALE_PROVER" xr:uid="{00000000-0004-0000-0200-00000F000000}"/>
    <hyperlink ref="G57:G142" r:id="rId17" location="tabell_F_UTD_KURS" display="http://www.ssb.no/a/metadata/om_datasamlinger/nudb/nudb_variabeldokumentasjon.html - tabell_F_UTD_KURS" xr:uid="{00000000-0004-0000-0200-000010000000}"/>
    <hyperlink ref="G122" r:id="rId18" location="tabell_F_UTD_KURS" display="http://www.ssb.no/a/metadata/om_datasamlinger/nudb/nudb_variabeldokumentasjon.html - tabell_F_UTD_KURS" xr:uid="{00000000-0004-0000-0200-000011000000}"/>
    <hyperlink ref="A21" location="'Variabelliste - velg Tabeller'!A11" display="&lt; Tilbake til tabelliste" xr:uid="{00000000-0004-0000-0200-000012000000}"/>
    <hyperlink ref="G49" r:id="rId19" location="tabell_F_UTD_KURS" display="F_UTD_KURS" xr:uid="{00000000-0004-0000-0200-000013000000}"/>
    <hyperlink ref="A41" location="'Variabelliste - velg tabeller'!A17" display="&lt; Tilbake til tabelliste" xr:uid="{00000000-0004-0000-0200-000014000000}"/>
    <hyperlink ref="A146" location="'Variabelliste - velg tabeller'!A22" display="&lt; Tilbake til tabelliste" xr:uid="{00000000-0004-0000-0200-000015000000}"/>
    <hyperlink ref="A183" location="'Variabelliste - velg tabeller'!A42" display="&lt; Tilbake til tabelliste" xr:uid="{00000000-0004-0000-0200-000016000000}"/>
    <hyperlink ref="A231" location="'Variabelliste - velg tabeller'!A47" display="&lt; Tilbake til tabelliste" xr:uid="{00000000-0004-0000-0200-000017000000}"/>
    <hyperlink ref="A245" location="'Variabelliste - velg tabeller'!A52" display="&lt; Tilbake til tabelliste" xr:uid="{00000000-0004-0000-0200-000018000000}"/>
    <hyperlink ref="A259" location="'Variabelliste - velg tabeller'!A57" display="&lt; Tilbake til tabelliste" xr:uid="{00000000-0004-0000-0200-000019000000}"/>
    <hyperlink ref="A314" location="'Variabelliste - velg tabeller'!A62" display="&lt; Tilbake til tabelliste" xr:uid="{00000000-0004-0000-0200-00001A000000}"/>
    <hyperlink ref="A344" location="'Variabelliste - velg tabeller'!A72" display="&lt; Tilbake til tabelliste" xr:uid="{00000000-0004-0000-0200-00001B000000}"/>
    <hyperlink ref="A328" location="'Variabelliste - velg tabeller'!A67" display="&lt; Tilbake til tabelliste" xr:uid="{00000000-0004-0000-0200-00001C000000}"/>
    <hyperlink ref="A363" location="'Variabelliste - velg tabeller'!A77" display="&lt; Tilbake til tabelliste" xr:uid="{00000000-0004-0000-0200-00001D000000}"/>
    <hyperlink ref="G16" r:id="rId20" xr:uid="{00000000-0004-0000-0200-00001E000000}"/>
    <hyperlink ref="G15" r:id="rId21" xr:uid="{00000000-0004-0000-0200-00001F000000}"/>
    <hyperlink ref="G49:G142" r:id="rId22" location="tabell_F_UTD_KURS" display="tabell_F_UTD_KURS" xr:uid="{00000000-0004-0000-0200-000020000000}"/>
    <hyperlink ref="B367:G367" location="'Variabelliste - velg tabeller'!A5" display="Gå tilbake til valg av tabeller" xr:uid="{00000000-0004-0000-0200-000021000000}"/>
    <hyperlink ref="B369:G369" location="'Variabelliste - informasjon'!C20" display="Gå tilbake til informasjonssiden" xr:uid="{00000000-0004-0000-0200-000022000000}"/>
    <hyperlink ref="G13" r:id="rId23" location="!/klassifikasjoner/36" xr:uid="{00000000-0004-0000-0200-000023000000}"/>
    <hyperlink ref="G17" r:id="rId24" location="!/klassifikasjoner/36" xr:uid="{00000000-0004-0000-0200-000024000000}"/>
    <hyperlink ref="G150:G181" r:id="rId25" location="tabell_F_UTD_PERSON" display="tabell_F_UTD_PERSON" xr:uid="{00000000-0004-0000-0200-000025000000}"/>
    <hyperlink ref="F190" r:id="rId26" xr:uid="{00000000-0004-0000-0200-000026000000}"/>
    <hyperlink ref="F189" r:id="rId27" xr:uid="{00000000-0004-0000-0200-000027000000}"/>
    <hyperlink ref="F188" r:id="rId28" xr:uid="{00000000-0004-0000-0200-000028000000}"/>
    <hyperlink ref="F133" r:id="rId29" xr:uid="{00000000-0004-0000-0200-000029000000}"/>
    <hyperlink ref="F187" r:id="rId30" xr:uid="{00000000-0004-0000-0200-00002A000000}"/>
    <hyperlink ref="F59" r:id="rId31" xr:uid="{00000000-0004-0000-0200-00002B000000}"/>
    <hyperlink ref="F33" r:id="rId32" xr:uid="{00000000-0004-0000-0200-00002C000000}"/>
    <hyperlink ref="F71" r:id="rId33" xr:uid="{00000000-0004-0000-0200-00002D000000}"/>
    <hyperlink ref="F191" r:id="rId34" xr:uid="{00000000-0004-0000-0200-00002E000000}"/>
    <hyperlink ref="F192" r:id="rId35" xr:uid="{00000000-0004-0000-0200-00002F000000}"/>
    <hyperlink ref="F199" r:id="rId36" xr:uid="{00000000-0004-0000-0200-000030000000}"/>
    <hyperlink ref="F198" r:id="rId37" xr:uid="{00000000-0004-0000-0200-000031000000}"/>
    <hyperlink ref="F200" r:id="rId38" xr:uid="{00000000-0004-0000-0200-000032000000}"/>
    <hyperlink ref="F201" r:id="rId39" xr:uid="{00000000-0004-0000-0200-000033000000}"/>
    <hyperlink ref="F202" r:id="rId40" xr:uid="{00000000-0004-0000-0200-000034000000}"/>
    <hyperlink ref="F14" r:id="rId41" xr:uid="{00000000-0004-0000-0200-000035000000}"/>
    <hyperlink ref="F7" r:id="rId42" xr:uid="{00000000-0004-0000-0200-000036000000}"/>
    <hyperlink ref="F16" r:id="rId43" xr:uid="{00000000-0004-0000-0200-000037000000}"/>
    <hyperlink ref="F361" r:id="rId44" xr:uid="{00000000-0004-0000-0200-000038000000}"/>
  </hyperlinks>
  <pageMargins left="0.25" right="0.25" top="0.75" bottom="0.75" header="0.3" footer="0.3"/>
  <pageSetup paperSize="9" scale="29" fitToHeight="0" orientation="landscape" r:id="rId45"/>
  <drawing r:id="rId46"/>
  <legacyDrawing r:id="rId4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4"/>
  <dimension ref="A1:E42"/>
  <sheetViews>
    <sheetView topLeftCell="A19" workbookViewId="0"/>
  </sheetViews>
  <sheetFormatPr baseColWidth="10" defaultColWidth="11.44140625" defaultRowHeight="13.2"/>
  <cols>
    <col min="1" max="1" width="131.88671875" bestFit="1" customWidth="1"/>
    <col min="3" max="3" width="37.109375" customWidth="1"/>
    <col min="4" max="4" width="32" customWidth="1"/>
    <col min="5" max="5" width="34.44140625" customWidth="1"/>
  </cols>
  <sheetData>
    <row r="1" spans="1:5" ht="18" customHeight="1">
      <c r="A1" t="s">
        <v>689</v>
      </c>
    </row>
    <row r="3" spans="1:5" ht="23.4">
      <c r="A3" s="2" t="s">
        <v>666</v>
      </c>
    </row>
    <row r="4" spans="1:5" ht="27" customHeight="1"/>
    <row r="5" spans="1:5" ht="18">
      <c r="A5" s="18" t="s">
        <v>678</v>
      </c>
    </row>
    <row r="6" spans="1:5" ht="39.6">
      <c r="A6" s="4" t="s">
        <v>679</v>
      </c>
    </row>
    <row r="10" spans="1:5" ht="27" customHeight="1">
      <c r="A10" s="17" t="s">
        <v>661</v>
      </c>
      <c r="C10" s="13" t="s">
        <v>648</v>
      </c>
      <c r="D10" s="13" t="s">
        <v>649</v>
      </c>
      <c r="E10" s="13" t="s">
        <v>654</v>
      </c>
    </row>
    <row r="11" spans="1:5" ht="55.95" customHeight="1">
      <c r="A11" s="3" t="s">
        <v>688</v>
      </c>
      <c r="C11" s="14" t="s">
        <v>321</v>
      </c>
      <c r="D11" s="10" t="s">
        <v>136</v>
      </c>
      <c r="E11" s="10"/>
    </row>
    <row r="12" spans="1:5" ht="26.4">
      <c r="A12" t="s">
        <v>663</v>
      </c>
      <c r="C12" s="15" t="s">
        <v>651</v>
      </c>
      <c r="D12" s="10" t="s">
        <v>194</v>
      </c>
      <c r="E12" s="10"/>
    </row>
    <row r="13" spans="1:5" ht="28.95" customHeight="1">
      <c r="A13" s="8" t="s">
        <v>664</v>
      </c>
      <c r="C13" s="16" t="s">
        <v>650</v>
      </c>
      <c r="D13" s="10" t="s">
        <v>677</v>
      </c>
      <c r="E13" s="10"/>
    </row>
    <row r="14" spans="1:5" ht="42" customHeight="1">
      <c r="A14" s="3" t="s">
        <v>671</v>
      </c>
      <c r="C14" s="14" t="s">
        <v>652</v>
      </c>
      <c r="D14" s="10" t="s">
        <v>677</v>
      </c>
      <c r="E14" s="10"/>
    </row>
    <row r="15" spans="1:5">
      <c r="A15" s="12"/>
      <c r="C15" s="14" t="s">
        <v>323</v>
      </c>
      <c r="D15" s="10" t="s">
        <v>677</v>
      </c>
      <c r="E15" s="10"/>
    </row>
    <row r="16" spans="1:5" ht="21">
      <c r="C16" s="14" t="s">
        <v>325</v>
      </c>
      <c r="D16" s="10" t="s">
        <v>672</v>
      </c>
      <c r="E16" s="21" t="s">
        <v>653</v>
      </c>
    </row>
    <row r="17" spans="1:5">
      <c r="C17" s="14" t="s">
        <v>375</v>
      </c>
      <c r="D17" s="10" t="s">
        <v>374</v>
      </c>
      <c r="E17" s="11"/>
    </row>
    <row r="18" spans="1:5">
      <c r="C18" s="14" t="s">
        <v>326</v>
      </c>
      <c r="D18" s="10" t="s">
        <v>194</v>
      </c>
      <c r="E18" s="11"/>
    </row>
    <row r="19" spans="1:5" ht="18">
      <c r="A19" s="17" t="s">
        <v>665</v>
      </c>
      <c r="C19" s="14" t="s">
        <v>416</v>
      </c>
      <c r="D19" s="10" t="s">
        <v>284</v>
      </c>
      <c r="E19" s="11"/>
    </row>
    <row r="20" spans="1:5" ht="31.2">
      <c r="A20" s="1" t="s">
        <v>687</v>
      </c>
      <c r="C20" s="14" t="s">
        <v>420</v>
      </c>
      <c r="D20" s="10" t="s">
        <v>284</v>
      </c>
      <c r="E20" s="21" t="s">
        <v>660</v>
      </c>
    </row>
    <row r="21" spans="1:5">
      <c r="A21" s="20" t="s">
        <v>682</v>
      </c>
      <c r="C21" s="14" t="s">
        <v>300</v>
      </c>
      <c r="D21" s="10" t="s">
        <v>301</v>
      </c>
      <c r="E21" s="11"/>
    </row>
    <row r="22" spans="1:5">
      <c r="A22" s="313" t="s">
        <v>686</v>
      </c>
      <c r="C22" s="14" t="s">
        <v>417</v>
      </c>
      <c r="D22" s="10" t="s">
        <v>305</v>
      </c>
      <c r="E22" s="21" t="s">
        <v>655</v>
      </c>
    </row>
    <row r="23" spans="1:5">
      <c r="A23" s="313"/>
    </row>
    <row r="24" spans="1:5">
      <c r="A24" s="9" t="s">
        <v>683</v>
      </c>
    </row>
    <row r="25" spans="1:5" ht="14.4">
      <c r="A25" s="1" t="s">
        <v>685</v>
      </c>
    </row>
    <row r="26" spans="1:5">
      <c r="A26" s="19" t="s">
        <v>684</v>
      </c>
    </row>
    <row r="27" spans="1:5" ht="62.4" customHeight="1">
      <c r="A27" s="314" t="s">
        <v>681</v>
      </c>
      <c r="B27" t="s">
        <v>680</v>
      </c>
    </row>
    <row r="28" spans="1:5" ht="32.4" customHeight="1">
      <c r="A28" s="314"/>
    </row>
    <row r="29" spans="1:5" ht="24.6" customHeight="1">
      <c r="A29" s="314"/>
    </row>
    <row r="30" spans="1:5" ht="32.4" customHeight="1">
      <c r="A30" s="314"/>
    </row>
    <row r="32" spans="1:5" ht="18">
      <c r="A32" s="17" t="s">
        <v>647</v>
      </c>
    </row>
    <row r="33" spans="1:1" ht="14.4">
      <c r="A33" s="7" t="s">
        <v>618</v>
      </c>
    </row>
    <row r="34" spans="1:1">
      <c r="A34" s="5" t="s">
        <v>667</v>
      </c>
    </row>
    <row r="35" spans="1:1">
      <c r="A35" s="5" t="s">
        <v>668</v>
      </c>
    </row>
    <row r="36" spans="1:1">
      <c r="A36" s="5" t="s">
        <v>669</v>
      </c>
    </row>
    <row r="37" spans="1:1">
      <c r="A37" s="6" t="s">
        <v>670</v>
      </c>
    </row>
    <row r="39" spans="1:1" ht="18">
      <c r="A39" s="18" t="s">
        <v>662</v>
      </c>
    </row>
    <row r="40" spans="1:1">
      <c r="A40" t="s">
        <v>674</v>
      </c>
    </row>
    <row r="41" spans="1:1">
      <c r="A41" t="s">
        <v>673</v>
      </c>
    </row>
    <row r="42" spans="1:1">
      <c r="A42" s="6"/>
    </row>
  </sheetData>
  <mergeCells count="2">
    <mergeCell ref="A22:A23"/>
    <mergeCell ref="A27:A3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vt:i4>
      </vt:variant>
    </vt:vector>
  </HeadingPairs>
  <TitlesOfParts>
    <vt:vector size="5" baseType="lpstr">
      <vt:lpstr>Variabelliste - informasjon</vt:lpstr>
      <vt:lpstr>Variabelliste - velg tabeller</vt:lpstr>
      <vt:lpstr>Variabelliste - velg variabler</vt:lpstr>
      <vt:lpstr>Merknader</vt:lpstr>
      <vt:lpstr>'Variabelliste - velg variabler'!Utskriftsområde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2014-12-17T11:57:32Z</dcterms:created>
  <dcterms:modified xsi:type="dcterms:W3CDTF">2021-04-27T13:20:57Z</dcterms:modified>
</cp:coreProperties>
</file>